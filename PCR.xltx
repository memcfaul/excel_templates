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/Library/Group Containers/UBF8T346G9.Office/User Content.localized/Templates.localized/"/>
    </mc:Choice>
  </mc:AlternateContent>
  <xr:revisionPtr revIDLastSave="0" documentId="8_{9FA36885-2D93-BC4B-90A5-65C46EA7F933}" xr6:coauthVersionLast="40" xr6:coauthVersionMax="40" xr10:uidLastSave="{00000000-0000-0000-0000-000000000000}"/>
  <bookViews>
    <workbookView xWindow="1080" yWindow="460" windowWidth="24520" windowHeight="15540" tabRatio="500" xr2:uid="{00000000-000D-0000-FFFF-FFFF00000000}"/>
  </bookViews>
  <sheets>
    <sheet name="PCR setup" sheetId="1" r:id="rId1"/>
    <sheet name="PCR setup with PCR plate" sheetId="6" r:id="rId2"/>
    <sheet name="PCR plate" sheetId="2" r:id="rId3"/>
    <sheet name="Small gel" sheetId="3" r:id="rId4"/>
    <sheet name="Medium gel" sheetId="4" r:id="rId5"/>
    <sheet name="large gel" sheetId="5" r:id="rId6"/>
  </sheets>
  <definedNames>
    <definedName name="_xlnm.Print_Area" localSheetId="0">'PCR setup'!$E$1:$P$28</definedName>
    <definedName name="_xlnm.Print_Area" localSheetId="1">'PCR setup with PCR plate'!$A$1:$O$30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" i="1" l="1"/>
  <c r="L7" i="1"/>
  <c r="I8" i="1" l="1"/>
  <c r="H11" i="1"/>
  <c r="I11" i="1"/>
  <c r="I7" i="1"/>
  <c r="I6" i="1"/>
  <c r="I5" i="1"/>
  <c r="H17" i="1"/>
  <c r="I17" i="1"/>
  <c r="J17" i="1"/>
  <c r="K17" i="1"/>
  <c r="L17" i="1"/>
  <c r="M17" i="1"/>
  <c r="N17" i="1"/>
  <c r="O17" i="1"/>
  <c r="P17" i="1"/>
  <c r="G17" i="1"/>
  <c r="E1" i="6" l="1"/>
  <c r="N2" i="6"/>
  <c r="L2" i="6"/>
  <c r="K3" i="6"/>
  <c r="M3" i="6"/>
  <c r="M4" i="6"/>
  <c r="N4" i="6"/>
  <c r="M5" i="6"/>
  <c r="N5" i="6"/>
  <c r="M6" i="6"/>
  <c r="N6" i="6"/>
  <c r="M7" i="6"/>
  <c r="N7" i="6"/>
  <c r="L8" i="6"/>
  <c r="M8" i="6"/>
  <c r="N8" i="6"/>
  <c r="L9" i="6"/>
  <c r="N9" i="6"/>
  <c r="L10" i="6"/>
  <c r="M10" i="6"/>
  <c r="N10" i="6"/>
  <c r="L11" i="6"/>
  <c r="M11" i="6"/>
  <c r="N11" i="6"/>
  <c r="C2" i="6"/>
  <c r="D2" i="6"/>
  <c r="E2" i="6"/>
  <c r="F2" i="6"/>
  <c r="G2" i="6"/>
  <c r="H2" i="6"/>
  <c r="I2" i="6"/>
  <c r="K2" i="6"/>
  <c r="C3" i="6"/>
  <c r="D3" i="6"/>
  <c r="E3" i="6"/>
  <c r="F3" i="6"/>
  <c r="G3" i="6"/>
  <c r="H3" i="6"/>
  <c r="I3" i="6"/>
  <c r="J3" i="6"/>
  <c r="C4" i="6"/>
  <c r="E4" i="6"/>
  <c r="F4" i="6"/>
  <c r="H4" i="6"/>
  <c r="E5" i="6"/>
  <c r="F5" i="6"/>
  <c r="H5" i="6"/>
  <c r="C6" i="6"/>
  <c r="E6" i="6"/>
  <c r="F6" i="6"/>
  <c r="H6" i="6"/>
  <c r="C7" i="6"/>
  <c r="E7" i="6"/>
  <c r="F7" i="6"/>
  <c r="H7" i="6"/>
  <c r="C8" i="6"/>
  <c r="E8" i="6"/>
  <c r="F8" i="6"/>
  <c r="H8" i="6"/>
  <c r="C9" i="6"/>
  <c r="E9" i="6"/>
  <c r="F9" i="6"/>
  <c r="G9" i="6"/>
  <c r="H9" i="6"/>
  <c r="C10" i="6"/>
  <c r="E10" i="6"/>
  <c r="F10" i="6"/>
  <c r="H10" i="6"/>
  <c r="E11" i="6"/>
  <c r="H11" i="6"/>
  <c r="C12" i="6"/>
  <c r="D12" i="6"/>
  <c r="E12" i="6"/>
  <c r="F12" i="6"/>
  <c r="H12" i="6"/>
  <c r="K12" i="6"/>
  <c r="C13" i="6"/>
  <c r="C14" i="6"/>
  <c r="C15" i="6"/>
  <c r="D15" i="6"/>
  <c r="E15" i="6"/>
  <c r="F15" i="6"/>
  <c r="G15" i="6"/>
  <c r="H15" i="6"/>
  <c r="I15" i="6"/>
  <c r="J15" i="6"/>
  <c r="K15" i="6"/>
  <c r="L15" i="6"/>
  <c r="M15" i="6"/>
  <c r="N15" i="6"/>
  <c r="C16" i="6"/>
  <c r="D16" i="6"/>
  <c r="E16" i="6"/>
  <c r="F16" i="6"/>
  <c r="G16" i="6"/>
  <c r="H16" i="6"/>
  <c r="I16" i="6"/>
  <c r="J16" i="6"/>
  <c r="K16" i="6"/>
  <c r="L16" i="6"/>
  <c r="M16" i="6"/>
  <c r="N16" i="6"/>
  <c r="C18" i="6"/>
  <c r="C19" i="6"/>
  <c r="N17" i="6"/>
  <c r="C17" i="6"/>
  <c r="G11" i="6" l="1"/>
  <c r="F11" i="6"/>
  <c r="V14" i="1"/>
  <c r="W14" i="1"/>
  <c r="X14" i="1"/>
  <c r="Y14" i="1"/>
  <c r="Z14" i="1"/>
  <c r="AA14" i="1"/>
  <c r="AB14" i="1"/>
  <c r="AC14" i="1"/>
  <c r="AD14" i="1"/>
  <c r="AE14" i="1"/>
  <c r="U14" i="1"/>
  <c r="N7" i="1" l="1"/>
  <c r="L7" i="6" s="1"/>
  <c r="N6" i="1"/>
  <c r="L6" i="6" s="1"/>
  <c r="N4" i="1"/>
  <c r="L4" i="6" s="1"/>
  <c r="N3" i="1"/>
  <c r="L3" i="6" s="1"/>
  <c r="E5" i="1"/>
  <c r="C5" i="6" s="1"/>
  <c r="M2" i="6" l="1"/>
  <c r="E11" i="1" l="1"/>
  <c r="C11" i="6" s="1"/>
  <c r="L11" i="1"/>
  <c r="M11" i="1" s="1"/>
  <c r="K12" i="1"/>
  <c r="I12" i="6" s="1"/>
  <c r="F11" i="1" l="1"/>
  <c r="D11" i="6" s="1"/>
  <c r="K11" i="6"/>
  <c r="J11" i="6"/>
  <c r="G6" i="6"/>
  <c r="G5" i="6"/>
  <c r="G8" i="6"/>
  <c r="C1" i="6"/>
  <c r="D1" i="6"/>
  <c r="F1" i="6"/>
  <c r="G1" i="6"/>
  <c r="H1" i="6"/>
  <c r="I1" i="6"/>
  <c r="J1" i="6"/>
  <c r="K1" i="6"/>
  <c r="L1" i="6"/>
  <c r="M1" i="6"/>
  <c r="N1" i="6"/>
  <c r="M12" i="6"/>
  <c r="N12" i="6"/>
  <c r="F7" i="1" l="1"/>
  <c r="D7" i="6" s="1"/>
  <c r="G7" i="6"/>
  <c r="S9" i="1"/>
  <c r="F6" i="1"/>
  <c r="D6" i="6" s="1"/>
  <c r="L6" i="1"/>
  <c r="M6" i="1" s="1"/>
  <c r="L9" i="1"/>
  <c r="M9" i="1" s="1"/>
  <c r="G10" i="3"/>
  <c r="H10" i="3"/>
  <c r="I10" i="3"/>
  <c r="J10" i="3"/>
  <c r="K8" i="1"/>
  <c r="I8" i="6" s="1"/>
  <c r="C22" i="6"/>
  <c r="C23" i="6"/>
  <c r="D23" i="6"/>
  <c r="E23" i="6"/>
  <c r="F23" i="6"/>
  <c r="G23" i="6"/>
  <c r="H23" i="6"/>
  <c r="I23" i="6"/>
  <c r="J23" i="6"/>
  <c r="K23" i="6"/>
  <c r="L23" i="6"/>
  <c r="M23" i="6"/>
  <c r="N23" i="6"/>
  <c r="C24" i="6"/>
  <c r="D24" i="6"/>
  <c r="E24" i="6"/>
  <c r="F24" i="6"/>
  <c r="G24" i="6"/>
  <c r="H24" i="6"/>
  <c r="I24" i="6"/>
  <c r="J24" i="6"/>
  <c r="K24" i="6"/>
  <c r="L24" i="6"/>
  <c r="M24" i="6"/>
  <c r="N24" i="6"/>
  <c r="C25" i="6"/>
  <c r="D25" i="6"/>
  <c r="E25" i="6"/>
  <c r="F25" i="6"/>
  <c r="G25" i="6"/>
  <c r="H25" i="6"/>
  <c r="I25" i="6"/>
  <c r="J25" i="6"/>
  <c r="K25" i="6"/>
  <c r="L25" i="6"/>
  <c r="M25" i="6"/>
  <c r="N25" i="6"/>
  <c r="C26" i="6"/>
  <c r="D26" i="6"/>
  <c r="E26" i="6"/>
  <c r="F26" i="6"/>
  <c r="G26" i="6"/>
  <c r="H26" i="6"/>
  <c r="I26" i="6"/>
  <c r="J26" i="6"/>
  <c r="K26" i="6"/>
  <c r="L26" i="6"/>
  <c r="M26" i="6"/>
  <c r="N26" i="6"/>
  <c r="C27" i="6"/>
  <c r="D27" i="6"/>
  <c r="E27" i="6"/>
  <c r="F27" i="6"/>
  <c r="G27" i="6"/>
  <c r="H27" i="6"/>
  <c r="I27" i="6"/>
  <c r="J27" i="6"/>
  <c r="K27" i="6"/>
  <c r="L27" i="6"/>
  <c r="M27" i="6"/>
  <c r="N27" i="6"/>
  <c r="C28" i="6"/>
  <c r="D28" i="6"/>
  <c r="E28" i="6"/>
  <c r="F28" i="6"/>
  <c r="G28" i="6"/>
  <c r="H28" i="6"/>
  <c r="I28" i="6"/>
  <c r="J28" i="6"/>
  <c r="K28" i="6"/>
  <c r="L28" i="6"/>
  <c r="M28" i="6"/>
  <c r="N28" i="6"/>
  <c r="C29" i="6"/>
  <c r="D29" i="6"/>
  <c r="E29" i="6"/>
  <c r="F29" i="6"/>
  <c r="G29" i="6"/>
  <c r="H29" i="6"/>
  <c r="I29" i="6"/>
  <c r="J29" i="6"/>
  <c r="K29" i="6"/>
  <c r="L29" i="6"/>
  <c r="M29" i="6"/>
  <c r="N29" i="6"/>
  <c r="D22" i="6"/>
  <c r="E22" i="6"/>
  <c r="F22" i="6"/>
  <c r="G22" i="6"/>
  <c r="H22" i="6"/>
  <c r="I22" i="6"/>
  <c r="J22" i="6"/>
  <c r="K22" i="6"/>
  <c r="L22" i="6"/>
  <c r="M22" i="6"/>
  <c r="N22" i="6"/>
  <c r="K11" i="1"/>
  <c r="I11" i="6" s="1"/>
  <c r="L2" i="1"/>
  <c r="J2" i="6" s="1"/>
  <c r="K4" i="1"/>
  <c r="I4" i="6" s="1"/>
  <c r="K5" i="1"/>
  <c r="I5" i="6" s="1"/>
  <c r="K6" i="1"/>
  <c r="I6" i="6" s="1"/>
  <c r="K7" i="1"/>
  <c r="I7" i="6" s="1"/>
  <c r="F9" i="1"/>
  <c r="D9" i="6" s="1"/>
  <c r="K9" i="1"/>
  <c r="I9" i="6" s="1"/>
  <c r="K10" i="1"/>
  <c r="I10" i="6" s="1"/>
  <c r="S26" i="4"/>
  <c r="T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A26" i="4"/>
  <c r="B9" i="4"/>
  <c r="C9" i="4"/>
  <c r="D9" i="4"/>
  <c r="E9" i="4"/>
  <c r="F9" i="4"/>
  <c r="G9" i="4"/>
  <c r="H9" i="4"/>
  <c r="I9" i="4"/>
  <c r="J9" i="4"/>
  <c r="K9" i="4"/>
  <c r="L9" i="4"/>
  <c r="A9" i="4"/>
  <c r="Y3" i="5"/>
  <c r="Y5" i="5" s="1"/>
  <c r="Y7" i="5" s="1"/>
  <c r="X3" i="5"/>
  <c r="X5" i="5" s="1"/>
  <c r="X7" i="5" s="1"/>
  <c r="W3" i="5"/>
  <c r="W5" i="5" s="1"/>
  <c r="W7" i="5" s="1"/>
  <c r="V3" i="5"/>
  <c r="V5" i="5" s="1"/>
  <c r="V7" i="5" s="1"/>
  <c r="U3" i="5"/>
  <c r="U5" i="5" s="1"/>
  <c r="U7" i="5" s="1"/>
  <c r="T3" i="5"/>
  <c r="T5" i="5" s="1"/>
  <c r="T7" i="5" s="1"/>
  <c r="S3" i="5"/>
  <c r="S5" i="5" s="1"/>
  <c r="S7" i="5" s="1"/>
  <c r="R3" i="5"/>
  <c r="R5" i="5" s="1"/>
  <c r="R7" i="5" s="1"/>
  <c r="Q3" i="5"/>
  <c r="Q5" i="5" s="1"/>
  <c r="Q7" i="5" s="1"/>
  <c r="P3" i="5"/>
  <c r="P5" i="5" s="1"/>
  <c r="P7" i="5" s="1"/>
  <c r="O3" i="5"/>
  <c r="O5" i="5" s="1"/>
  <c r="O7" i="5" s="1"/>
  <c r="N3" i="5"/>
  <c r="N5" i="5" s="1"/>
  <c r="N7" i="5" s="1"/>
  <c r="M3" i="5"/>
  <c r="M5" i="5" s="1"/>
  <c r="M7" i="5" s="1"/>
  <c r="L3" i="5"/>
  <c r="L5" i="5" s="1"/>
  <c r="L7" i="5" s="1"/>
  <c r="K3" i="5"/>
  <c r="K5" i="5" s="1"/>
  <c r="K7" i="5" s="1"/>
  <c r="J3" i="5"/>
  <c r="J5" i="5" s="1"/>
  <c r="J7" i="5" s="1"/>
  <c r="I3" i="5"/>
  <c r="I5" i="5" s="1"/>
  <c r="I7" i="5" s="1"/>
  <c r="H3" i="5"/>
  <c r="H5" i="5" s="1"/>
  <c r="H7" i="5" s="1"/>
  <c r="G3" i="5"/>
  <c r="G5" i="5" s="1"/>
  <c r="G7" i="5" s="1"/>
  <c r="F3" i="5"/>
  <c r="F5" i="5" s="1"/>
  <c r="F7" i="5" s="1"/>
  <c r="E3" i="5"/>
  <c r="E5" i="5" s="1"/>
  <c r="E7" i="5" s="1"/>
  <c r="D3" i="5"/>
  <c r="D5" i="5" s="1"/>
  <c r="D7" i="5" s="1"/>
  <c r="C3" i="5"/>
  <c r="C5" i="5" s="1"/>
  <c r="C7" i="5" s="1"/>
  <c r="B3" i="5"/>
  <c r="B5" i="5" s="1"/>
  <c r="B7" i="5" s="1"/>
  <c r="A3" i="5"/>
  <c r="A5" i="5" s="1"/>
  <c r="A7" i="5" s="1"/>
  <c r="F10" i="3"/>
  <c r="E10" i="3"/>
  <c r="D10" i="3"/>
  <c r="C10" i="3"/>
  <c r="B10" i="3"/>
  <c r="A10" i="3"/>
  <c r="F4" i="3"/>
  <c r="E4" i="3"/>
  <c r="D4" i="3"/>
  <c r="C4" i="3"/>
  <c r="B4" i="3"/>
  <c r="A4" i="3"/>
  <c r="K6" i="6" l="1"/>
  <c r="J6" i="6"/>
  <c r="K9" i="6"/>
  <c r="J9" i="6"/>
  <c r="F8" i="1"/>
  <c r="D8" i="6" s="1"/>
  <c r="F5" i="1"/>
  <c r="D5" i="6" s="1"/>
  <c r="L5" i="1"/>
  <c r="M5" i="1" s="1"/>
  <c r="K5" i="6" l="1"/>
  <c r="J5" i="6"/>
  <c r="I4" i="1" l="1"/>
  <c r="F4" i="1" s="1"/>
  <c r="D4" i="6" s="1"/>
  <c r="F10" i="1"/>
  <c r="L10" i="1"/>
  <c r="M10" i="1"/>
  <c r="K10" i="6" s="1"/>
  <c r="D10" i="6"/>
  <c r="G10" i="6"/>
  <c r="J10" i="6"/>
  <c r="G4" i="6" l="1"/>
  <c r="L4" i="1"/>
  <c r="I12" i="1"/>
  <c r="G12" i="6" s="1"/>
  <c r="M4" i="1" l="1"/>
  <c r="K4" i="6" s="1"/>
  <c r="J4" i="6"/>
  <c r="D14" i="6"/>
  <c r="P13" i="1"/>
  <c r="E17" i="6"/>
  <c r="F17" i="6"/>
  <c r="G17" i="6"/>
  <c r="H17" i="6"/>
  <c r="I17" i="6"/>
  <c r="J17" i="6"/>
  <c r="K17" i="6"/>
  <c r="L17" i="6"/>
  <c r="M17" i="6"/>
  <c r="N5" i="1"/>
  <c r="L5" i="6" s="1"/>
  <c r="O9" i="1"/>
  <c r="M9" i="6" s="1"/>
  <c r="D17" i="6"/>
  <c r="M8" i="1"/>
  <c r="K8" i="6" s="1"/>
  <c r="J8" i="6"/>
  <c r="P14" i="1" l="1"/>
  <c r="N14" i="6" s="1"/>
  <c r="N13" i="6"/>
  <c r="P18" i="1"/>
  <c r="N18" i="6" s="1"/>
  <c r="P19" i="1"/>
  <c r="N19" i="6" s="1"/>
  <c r="J13" i="1"/>
  <c r="K13" i="1"/>
  <c r="L13" i="1"/>
  <c r="J13" i="6" s="1"/>
  <c r="M13" i="1"/>
  <c r="N13" i="1"/>
  <c r="O13" i="1"/>
  <c r="L18" i="1"/>
  <c r="J18" i="6" s="1"/>
  <c r="H13" i="6"/>
  <c r="H13" i="1"/>
  <c r="I13" i="1"/>
  <c r="M18" i="1" l="1"/>
  <c r="K18" i="6" s="1"/>
  <c r="M14" i="1"/>
  <c r="K14" i="6" s="1"/>
  <c r="H18" i="1"/>
  <c r="F18" i="6" s="1"/>
  <c r="H14" i="1"/>
  <c r="F14" i="6" s="1"/>
  <c r="O18" i="1"/>
  <c r="M18" i="6" s="1"/>
  <c r="O14" i="1"/>
  <c r="M14" i="6" s="1"/>
  <c r="K18" i="1"/>
  <c r="I18" i="6" s="1"/>
  <c r="K14" i="1"/>
  <c r="I14" i="6" s="1"/>
  <c r="N19" i="1"/>
  <c r="L19" i="6" s="1"/>
  <c r="N14" i="1"/>
  <c r="L14" i="6" s="1"/>
  <c r="J18" i="1"/>
  <c r="H18" i="6" s="1"/>
  <c r="J14" i="1"/>
  <c r="H14" i="6" s="1"/>
  <c r="I18" i="1"/>
  <c r="G18" i="6" s="1"/>
  <c r="I14" i="1"/>
  <c r="G14" i="6" s="1"/>
  <c r="L19" i="1"/>
  <c r="J19" i="6" s="1"/>
  <c r="L14" i="1"/>
  <c r="J14" i="6" s="1"/>
  <c r="I13" i="6"/>
  <c r="M13" i="6"/>
  <c r="H19" i="1"/>
  <c r="F13" i="6"/>
  <c r="L13" i="6"/>
  <c r="K19" i="1"/>
  <c r="I19" i="6" s="1"/>
  <c r="L20" i="1"/>
  <c r="J20" i="6" s="1"/>
  <c r="N20" i="1"/>
  <c r="L20" i="6" s="1"/>
  <c r="P20" i="1"/>
  <c r="N20" i="6" s="1"/>
  <c r="N18" i="1"/>
  <c r="L18" i="6" s="1"/>
  <c r="G13" i="6"/>
  <c r="K13" i="6"/>
  <c r="O19" i="1"/>
  <c r="M19" i="6" s="1"/>
  <c r="M19" i="1"/>
  <c r="K19" i="6" s="1"/>
  <c r="I19" i="1"/>
  <c r="G19" i="6" s="1"/>
  <c r="J19" i="1"/>
  <c r="H19" i="6" s="1"/>
  <c r="H20" i="1" l="1"/>
  <c r="F20" i="6" s="1"/>
  <c r="F19" i="6"/>
  <c r="K20" i="1"/>
  <c r="I20" i="6" s="1"/>
  <c r="I20" i="1"/>
  <c r="G20" i="6" s="1"/>
  <c r="J20" i="1"/>
  <c r="H20" i="6" s="1"/>
  <c r="M20" i="1"/>
  <c r="K20" i="6" s="1"/>
  <c r="O20" i="1"/>
  <c r="M20" i="6" s="1"/>
  <c r="P3" i="1" l="1"/>
  <c r="T3" i="1" s="1"/>
  <c r="R3" i="6" s="1"/>
  <c r="N3" i="6" l="1"/>
  <c r="G13" i="1"/>
  <c r="T1" i="1" s="1"/>
  <c r="G14" i="1"/>
  <c r="E14" i="6" s="1"/>
  <c r="G18" i="1"/>
  <c r="E18" i="6" s="1"/>
  <c r="G19" i="1"/>
  <c r="E19" i="6" s="1"/>
  <c r="E13" i="6"/>
  <c r="L12" i="1" l="1"/>
  <c r="J12" i="6" s="1"/>
  <c r="J7" i="6"/>
  <c r="M7" i="1"/>
  <c r="K7" i="6" s="1"/>
  <c r="G20" i="1"/>
  <c r="E20" i="6" s="1"/>
  <c r="S8" i="1" l="1"/>
  <c r="S10" i="1"/>
  <c r="S11" i="1"/>
  <c r="N12" i="1"/>
  <c r="F13" i="1"/>
  <c r="F18" i="1"/>
  <c r="F19" i="1"/>
  <c r="F20" i="1"/>
  <c r="L12" i="6"/>
  <c r="D13" i="6"/>
  <c r="D18" i="6"/>
  <c r="D19" i="6"/>
  <c r="D20" i="6"/>
</calcChain>
</file>

<file path=xl/sharedStrings.xml><?xml version="1.0" encoding="utf-8"?>
<sst xmlns="http://schemas.openxmlformats.org/spreadsheetml/2006/main" count="78" uniqueCount="48">
  <si>
    <t>volume:</t>
  </si>
  <si>
    <t>[stock]</t>
  </si>
  <si>
    <t>[final]</t>
  </si>
  <si>
    <t>PCR Name:</t>
  </si>
  <si>
    <t>thermocycler</t>
  </si>
  <si>
    <t xml:space="preserve">time est </t>
  </si>
  <si>
    <t>DNA</t>
  </si>
  <si>
    <t>A</t>
  </si>
  <si>
    <t>B</t>
  </si>
  <si>
    <t>C</t>
  </si>
  <si>
    <t>D</t>
  </si>
  <si>
    <t>E</t>
  </si>
  <si>
    <t>F</t>
  </si>
  <si>
    <t>G</t>
  </si>
  <si>
    <t>H</t>
  </si>
  <si>
    <t>ladder</t>
  </si>
  <si>
    <t>Primers</t>
  </si>
  <si>
    <t>repeat</t>
  </si>
  <si>
    <t>times</t>
  </si>
  <si>
    <t>Rgnt</t>
  </si>
  <si>
    <t>H2O</t>
  </si>
  <si>
    <t>Master Mix</t>
  </si>
  <si>
    <t>file name =</t>
  </si>
  <si>
    <t>buffer</t>
  </si>
  <si>
    <t>dNTPs</t>
  </si>
  <si>
    <t>Date</t>
  </si>
  <si>
    <t>Name</t>
  </si>
  <si>
    <t>Exp. Bands</t>
  </si>
  <si>
    <t>Tm</t>
  </si>
  <si>
    <t>primers?</t>
  </si>
  <si>
    <t>DNA?</t>
  </si>
  <si>
    <t>NO</t>
  </si>
  <si>
    <t>num formula</t>
  </si>
  <si>
    <t>num active</t>
  </si>
  <si>
    <t>uncalc</t>
  </si>
  <si>
    <t>max rxns</t>
  </si>
  <si>
    <t>rxns</t>
  </si>
  <si>
    <t>IS FUNCT</t>
  </si>
  <si>
    <t>SUM</t>
  </si>
  <si>
    <t>sheet functions, do not change</t>
  </si>
  <si>
    <t>prim. Each</t>
  </si>
  <si>
    <t>Fwd prm</t>
  </si>
  <si>
    <t>Rev prm</t>
  </si>
  <si>
    <t>Name here</t>
  </si>
  <si>
    <t>prm names</t>
  </si>
  <si>
    <t>band size</t>
  </si>
  <si>
    <t>Taq</t>
  </si>
  <si>
    <t>PCR1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</si>
</sst>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\x"/>
    <numFmt numFmtId="165" formatCode="#\u\l"/>
    <numFmt numFmtId="166" formatCode="General\m\M"/>
    <numFmt numFmtId="167" formatCode="General\*\C"/>
    <numFmt numFmtId="168" formatCode="General\x"/>
    <numFmt numFmtId="169" formatCode="General\μ\M"/>
    <numFmt numFmtId="170" formatCode="\ \s\p\l\i\t\ \r\x\n\s\ General"/>
    <numFmt numFmtId="171" formatCode="[$-F400]h:mm:ss\ AM/PM"/>
    <numFmt numFmtId="172" formatCode="General\µ\L"/>
    <numFmt numFmtId="173" formatCode="General\n\g\/\µ\L"/>
  </numFmts>
  <fonts count="2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theme="1"/>
      <name val="Calibri (Body)_x0000_"/>
    </font>
    <font>
      <sz val="16"/>
      <color rgb="FF000000"/>
      <name val="Calibri (Body)_x0000_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9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6"/>
      <color theme="0" tint="-0.34998626667073579"/>
      <name val="Calibri (Body)_x0000_"/>
    </font>
    <font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thin">
        <color auto="1"/>
      </right>
      <top style="medium">
        <color theme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medium">
        <color indexed="64"/>
      </right>
      <top/>
      <bottom style="thin">
        <color rgb="FFFF0000"/>
      </bottom>
      <diagonal/>
    </border>
    <border>
      <left style="thin">
        <color rgb="FFFF0000"/>
      </left>
      <right style="medium">
        <color indexed="64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medium">
        <color indexed="64"/>
      </right>
      <top style="thin">
        <color rgb="FFFF0000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wrapText="1"/>
    </xf>
    <xf numFmtId="0" fontId="0" fillId="0" borderId="0" xfId="0" applyBorder="1"/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0" borderId="5" xfId="0" applyFont="1" applyFill="1" applyBorder="1" applyAlignment="1">
      <alignment horizontal="left" vertical="center" wrapText="1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 vertical="top"/>
    </xf>
    <xf numFmtId="0" fontId="1" fillId="0" borderId="19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top"/>
    </xf>
    <xf numFmtId="0" fontId="8" fillId="0" borderId="0" xfId="0" applyFont="1" applyBorder="1"/>
    <xf numFmtId="0" fontId="10" fillId="0" borderId="4" xfId="0" applyFont="1" applyFill="1" applyBorder="1" applyAlignment="1">
      <alignment horizontal="center"/>
    </xf>
    <xf numFmtId="168" fontId="9" fillId="0" borderId="28" xfId="0" applyNumberFormat="1" applyFont="1" applyBorder="1" applyAlignment="1">
      <alignment horizontal="center" vertical="center"/>
    </xf>
    <xf numFmtId="0" fontId="10" fillId="0" borderId="21" xfId="0" applyFont="1" applyFill="1" applyBorder="1" applyAlignment="1">
      <alignment horizontal="center"/>
    </xf>
    <xf numFmtId="170" fontId="11" fillId="0" borderId="28" xfId="0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8" xfId="0" applyBorder="1"/>
    <xf numFmtId="0" fontId="0" fillId="0" borderId="35" xfId="0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3" xfId="0" applyFont="1" applyBorder="1" applyAlignment="1">
      <alignment horizontal="right" vertical="center"/>
    </xf>
    <xf numFmtId="0" fontId="1" fillId="0" borderId="24" xfId="0" applyFont="1" applyBorder="1" applyAlignment="1">
      <alignment horizontal="right" vertical="center"/>
    </xf>
    <xf numFmtId="0" fontId="1" fillId="0" borderId="25" xfId="0" applyFont="1" applyBorder="1" applyAlignment="1">
      <alignment horizontal="right" vertical="center"/>
    </xf>
    <xf numFmtId="168" fontId="0" fillId="0" borderId="0" xfId="0" applyNumberFormat="1"/>
    <xf numFmtId="170" fontId="10" fillId="0" borderId="4" xfId="0" applyNumberFormat="1" applyFont="1" applyFill="1" applyBorder="1" applyAlignment="1">
      <alignment horizontal="center" vertical="center"/>
    </xf>
    <xf numFmtId="0" fontId="10" fillId="0" borderId="21" xfId="0" applyNumberFormat="1" applyFont="1" applyFill="1" applyBorder="1" applyAlignment="1">
      <alignment horizontal="center"/>
    </xf>
    <xf numFmtId="0" fontId="10" fillId="0" borderId="40" xfId="0" applyFont="1" applyFill="1" applyBorder="1" applyAlignment="1">
      <alignment horizontal="center" vertical="center"/>
    </xf>
    <xf numFmtId="0" fontId="10" fillId="0" borderId="42" xfId="0" applyFont="1" applyFill="1" applyBorder="1" applyAlignment="1">
      <alignment horizontal="center"/>
    </xf>
    <xf numFmtId="0" fontId="10" fillId="0" borderId="42" xfId="0" applyFont="1" applyFill="1" applyBorder="1" applyAlignment="1">
      <alignment horizontal="center" vertical="center"/>
    </xf>
    <xf numFmtId="168" fontId="10" fillId="0" borderId="43" xfId="0" applyNumberFormat="1" applyFont="1" applyFill="1" applyBorder="1" applyAlignment="1">
      <alignment horizontal="center"/>
    </xf>
    <xf numFmtId="0" fontId="10" fillId="0" borderId="43" xfId="0" applyFont="1" applyFill="1" applyBorder="1" applyAlignment="1">
      <alignment horizontal="center"/>
    </xf>
    <xf numFmtId="0" fontId="13" fillId="0" borderId="0" xfId="0" applyFont="1" applyBorder="1"/>
    <xf numFmtId="21" fontId="8" fillId="0" borderId="0" xfId="0" applyNumberFormat="1" applyFont="1" applyBorder="1"/>
    <xf numFmtId="168" fontId="10" fillId="0" borderId="48" xfId="0" applyNumberFormat="1" applyFont="1" applyFill="1" applyBorder="1" applyAlignment="1">
      <alignment horizontal="center"/>
    </xf>
    <xf numFmtId="0" fontId="0" fillId="0" borderId="3" xfId="0" applyBorder="1"/>
    <xf numFmtId="0" fontId="10" fillId="0" borderId="49" xfId="0" applyFont="1" applyFill="1" applyBorder="1" applyAlignment="1">
      <alignment horizontal="center"/>
    </xf>
    <xf numFmtId="0" fontId="10" fillId="0" borderId="49" xfId="0" applyFont="1" applyFill="1" applyBorder="1" applyAlignment="1">
      <alignment horizontal="center" vertical="center"/>
    </xf>
    <xf numFmtId="168" fontId="10" fillId="0" borderId="54" xfId="0" applyNumberFormat="1" applyFont="1" applyFill="1" applyBorder="1" applyAlignment="1">
      <alignment horizontal="center"/>
    </xf>
    <xf numFmtId="0" fontId="0" fillId="0" borderId="9" xfId="0" applyBorder="1"/>
    <xf numFmtId="0" fontId="0" fillId="0" borderId="27" xfId="0" applyBorder="1"/>
    <xf numFmtId="0" fontId="7" fillId="0" borderId="6" xfId="0" applyFont="1" applyBorder="1" applyAlignment="1">
      <alignment horizontal="center"/>
    </xf>
    <xf numFmtId="0" fontId="12" fillId="0" borderId="37" xfId="0" applyFont="1" applyBorder="1"/>
    <xf numFmtId="0" fontId="0" fillId="0" borderId="0" xfId="0" applyBorder="1" applyAlignment="1">
      <alignment horizontal="center" vertical="center"/>
    </xf>
    <xf numFmtId="0" fontId="7" fillId="0" borderId="3" xfId="0" applyFont="1" applyBorder="1"/>
    <xf numFmtId="167" fontId="0" fillId="0" borderId="3" xfId="0" applyNumberFormat="1" applyBorder="1"/>
    <xf numFmtId="0" fontId="0" fillId="0" borderId="14" xfId="0" applyBorder="1"/>
    <xf numFmtId="0" fontId="10" fillId="0" borderId="55" xfId="0" applyFont="1" applyFill="1" applyBorder="1" applyAlignment="1">
      <alignment horizontal="center"/>
    </xf>
    <xf numFmtId="0" fontId="10" fillId="0" borderId="56" xfId="0" applyFont="1" applyFill="1" applyBorder="1" applyAlignment="1">
      <alignment horizontal="center"/>
    </xf>
    <xf numFmtId="0" fontId="10" fillId="0" borderId="56" xfId="0" applyFont="1" applyFill="1" applyBorder="1" applyAlignment="1">
      <alignment horizontal="center" vertical="center"/>
    </xf>
    <xf numFmtId="167" fontId="10" fillId="0" borderId="57" xfId="0" applyNumberFormat="1" applyFont="1" applyFill="1" applyBorder="1" applyAlignment="1">
      <alignment horizontal="center" vertical="center"/>
    </xf>
    <xf numFmtId="167" fontId="10" fillId="0" borderId="58" xfId="0" applyNumberFormat="1" applyFont="1" applyFill="1" applyBorder="1" applyAlignment="1">
      <alignment horizontal="center" vertical="center"/>
    </xf>
    <xf numFmtId="167" fontId="10" fillId="0" borderId="59" xfId="0" applyNumberFormat="1" applyFont="1" applyFill="1" applyBorder="1" applyAlignment="1">
      <alignment horizontal="center" vertical="center"/>
    </xf>
    <xf numFmtId="168" fontId="10" fillId="0" borderId="55" xfId="0" applyNumberFormat="1" applyFont="1" applyFill="1" applyBorder="1" applyAlignment="1">
      <alignment horizontal="center"/>
    </xf>
    <xf numFmtId="165" fontId="0" fillId="0" borderId="15" xfId="0" applyNumberFormat="1" applyFont="1" applyBorder="1" applyAlignment="1">
      <alignment horizontal="right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33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167" fontId="6" fillId="0" borderId="31" xfId="0" applyNumberFormat="1" applyFont="1" applyBorder="1" applyAlignment="1">
      <alignment horizontal="right"/>
    </xf>
    <xf numFmtId="167" fontId="6" fillId="0" borderId="9" xfId="0" applyNumberFormat="1" applyFont="1" applyBorder="1" applyAlignment="1">
      <alignment horizontal="left"/>
    </xf>
    <xf numFmtId="45" fontId="6" fillId="0" borderId="32" xfId="0" applyNumberFormat="1" applyFont="1" applyBorder="1" applyAlignment="1">
      <alignment horizontal="right"/>
    </xf>
    <xf numFmtId="45" fontId="6" fillId="0" borderId="27" xfId="0" applyNumberFormat="1" applyFont="1" applyBorder="1" applyAlignment="1">
      <alignment horizontal="left"/>
    </xf>
    <xf numFmtId="0" fontId="15" fillId="0" borderId="12" xfId="0" applyFont="1" applyBorder="1" applyAlignment="1">
      <alignment horizontal="right"/>
    </xf>
    <xf numFmtId="0" fontId="16" fillId="0" borderId="14" xfId="0" applyFont="1" applyBorder="1"/>
    <xf numFmtId="0" fontId="9" fillId="0" borderId="52" xfId="0" applyFont="1" applyFill="1" applyBorder="1" applyAlignment="1">
      <alignment horizontal="right"/>
    </xf>
    <xf numFmtId="0" fontId="1" fillId="0" borderId="10" xfId="0" applyFont="1" applyBorder="1" applyAlignment="1">
      <alignment horizontal="right"/>
    </xf>
    <xf numFmtId="167" fontId="6" fillId="0" borderId="12" xfId="0" applyNumberFormat="1" applyFont="1" applyBorder="1" applyAlignment="1">
      <alignment horizontal="left"/>
    </xf>
    <xf numFmtId="45" fontId="6" fillId="0" borderId="13" xfId="0" applyNumberFormat="1" applyFont="1" applyBorder="1" applyAlignment="1">
      <alignment horizontal="left"/>
    </xf>
    <xf numFmtId="167" fontId="6" fillId="0" borderId="15" xfId="0" applyNumberFormat="1" applyFont="1" applyBorder="1" applyAlignment="1">
      <alignment horizontal="right"/>
    </xf>
    <xf numFmtId="45" fontId="6" fillId="0" borderId="16" xfId="0" applyNumberFormat="1" applyFont="1" applyBorder="1" applyAlignment="1">
      <alignment horizontal="right"/>
    </xf>
    <xf numFmtId="167" fontId="6" fillId="0" borderId="10" xfId="0" applyNumberFormat="1" applyFont="1" applyBorder="1" applyAlignment="1">
      <alignment horizontal="right"/>
    </xf>
    <xf numFmtId="45" fontId="6" fillId="0" borderId="11" xfId="0" applyNumberFormat="1" applyFont="1" applyBorder="1" applyAlignment="1">
      <alignment horizontal="right"/>
    </xf>
    <xf numFmtId="0" fontId="0" fillId="0" borderId="7" xfId="0" applyFont="1" applyBorder="1" applyAlignment="1">
      <alignment horizontal="center"/>
    </xf>
    <xf numFmtId="0" fontId="18" fillId="0" borderId="9" xfId="0" applyFont="1" applyBorder="1"/>
    <xf numFmtId="0" fontId="18" fillId="0" borderId="27" xfId="0" applyFont="1" applyBorder="1"/>
    <xf numFmtId="0" fontId="19" fillId="0" borderId="10" xfId="0" applyFont="1" applyBorder="1" applyAlignment="1">
      <alignment horizontal="right" vertical="center"/>
    </xf>
    <xf numFmtId="164" fontId="19" fillId="0" borderId="11" xfId="0" applyNumberFormat="1" applyFont="1" applyBorder="1" applyAlignment="1">
      <alignment horizontal="left" vertical="center"/>
    </xf>
    <xf numFmtId="10" fontId="20" fillId="0" borderId="31" xfId="0" applyNumberFormat="1" applyFont="1" applyBorder="1" applyAlignment="1">
      <alignment horizontal="right"/>
    </xf>
    <xf numFmtId="10" fontId="20" fillId="0" borderId="11" xfId="0" applyNumberFormat="1" applyFont="1" applyBorder="1" applyAlignment="1">
      <alignment horizontal="left"/>
    </xf>
    <xf numFmtId="168" fontId="20" fillId="0" borderId="28" xfId="0" applyNumberFormat="1" applyFont="1" applyBorder="1" applyAlignment="1">
      <alignment horizontal="right"/>
    </xf>
    <xf numFmtId="164" fontId="20" fillId="0" borderId="26" xfId="0" applyNumberFormat="1" applyFont="1" applyBorder="1" applyAlignment="1">
      <alignment horizontal="left"/>
    </xf>
    <xf numFmtId="166" fontId="20" fillId="0" borderId="15" xfId="0" applyNumberFormat="1" applyFont="1" applyBorder="1" applyAlignment="1">
      <alignment horizontal="right"/>
    </xf>
    <xf numFmtId="166" fontId="20" fillId="0" borderId="11" xfId="0" applyNumberFormat="1" applyFont="1" applyBorder="1" applyAlignment="1">
      <alignment horizontal="left"/>
    </xf>
    <xf numFmtId="169" fontId="20" fillId="0" borderId="10" xfId="0" applyNumberFormat="1" applyFont="1" applyBorder="1" applyAlignment="1">
      <alignment horizontal="right"/>
    </xf>
    <xf numFmtId="169" fontId="20" fillId="0" borderId="11" xfId="0" applyNumberFormat="1" applyFont="1" applyBorder="1" applyAlignment="1">
      <alignment horizontal="left"/>
    </xf>
    <xf numFmtId="0" fontId="18" fillId="0" borderId="31" xfId="0" applyFont="1" applyBorder="1" applyAlignment="1">
      <alignment horizontal="right"/>
    </xf>
    <xf numFmtId="0" fontId="18" fillId="0" borderId="13" xfId="0" applyFont="1" applyBorder="1" applyAlignment="1">
      <alignment horizontal="left"/>
    </xf>
    <xf numFmtId="0" fontId="18" fillId="0" borderId="60" xfId="0" applyFont="1" applyBorder="1" applyAlignment="1">
      <alignment horizontal="right"/>
    </xf>
    <xf numFmtId="164" fontId="19" fillId="0" borderId="16" xfId="0" applyNumberFormat="1" applyFont="1" applyBorder="1" applyAlignment="1">
      <alignment horizontal="left" vertical="center"/>
    </xf>
    <xf numFmtId="0" fontId="18" fillId="0" borderId="10" xfId="0" applyFont="1" applyBorder="1" applyAlignment="1">
      <alignment horizontal="right"/>
    </xf>
    <xf numFmtId="0" fontId="18" fillId="0" borderId="20" xfId="0" applyFont="1" applyBorder="1" applyAlignment="1">
      <alignment horizontal="right"/>
    </xf>
    <xf numFmtId="0" fontId="20" fillId="0" borderId="31" xfId="0" quotePrefix="1" applyFont="1" applyBorder="1" applyAlignment="1">
      <alignment horizontal="right"/>
    </xf>
    <xf numFmtId="0" fontId="21" fillId="0" borderId="10" xfId="0" applyFont="1" applyBorder="1" applyAlignment="1">
      <alignment horizontal="right" vertical="center"/>
    </xf>
    <xf numFmtId="164" fontId="21" fillId="0" borderId="11" xfId="0" applyNumberFormat="1" applyFont="1" applyBorder="1" applyAlignment="1">
      <alignment horizontal="left" vertical="center"/>
    </xf>
    <xf numFmtId="10" fontId="22" fillId="0" borderId="31" xfId="0" applyNumberFormat="1" applyFont="1" applyBorder="1" applyAlignment="1">
      <alignment horizontal="right"/>
    </xf>
    <xf numFmtId="10" fontId="22" fillId="0" borderId="11" xfId="0" applyNumberFormat="1" applyFont="1" applyBorder="1" applyAlignment="1">
      <alignment horizontal="left"/>
    </xf>
    <xf numFmtId="168" fontId="23" fillId="0" borderId="28" xfId="0" applyNumberFormat="1" applyFont="1" applyBorder="1" applyAlignment="1">
      <alignment horizontal="right"/>
    </xf>
    <xf numFmtId="164" fontId="23" fillId="0" borderId="26" xfId="0" applyNumberFormat="1" applyFont="1" applyBorder="1" applyAlignment="1">
      <alignment horizontal="left"/>
    </xf>
    <xf numFmtId="166" fontId="23" fillId="0" borderId="15" xfId="0" applyNumberFormat="1" applyFont="1" applyBorder="1" applyAlignment="1">
      <alignment horizontal="right"/>
    </xf>
    <xf numFmtId="166" fontId="23" fillId="0" borderId="11" xfId="0" applyNumberFormat="1" applyFont="1" applyBorder="1" applyAlignment="1">
      <alignment horizontal="left"/>
    </xf>
    <xf numFmtId="169" fontId="23" fillId="0" borderId="10" xfId="0" applyNumberFormat="1" applyFont="1" applyBorder="1" applyAlignment="1">
      <alignment horizontal="right"/>
    </xf>
    <xf numFmtId="169" fontId="23" fillId="0" borderId="11" xfId="0" applyNumberFormat="1" applyFont="1" applyBorder="1" applyAlignment="1">
      <alignment horizontal="left"/>
    </xf>
    <xf numFmtId="0" fontId="25" fillId="0" borderId="31" xfId="0" applyFont="1" applyBorder="1" applyAlignment="1">
      <alignment horizontal="right"/>
    </xf>
    <xf numFmtId="10" fontId="22" fillId="0" borderId="10" xfId="0" applyNumberFormat="1" applyFont="1" applyBorder="1" applyAlignment="1">
      <alignment horizontal="right"/>
    </xf>
    <xf numFmtId="10" fontId="24" fillId="0" borderId="10" xfId="0" applyNumberFormat="1" applyFont="1" applyBorder="1" applyAlignment="1">
      <alignment horizontal="right"/>
    </xf>
    <xf numFmtId="10" fontId="24" fillId="0" borderId="11" xfId="0" applyNumberFormat="1" applyFont="1" applyBorder="1" applyAlignment="1">
      <alignment horizontal="left"/>
    </xf>
    <xf numFmtId="0" fontId="26" fillId="0" borderId="50" xfId="0" applyFont="1" applyFill="1" applyBorder="1" applyAlignment="1">
      <alignment horizontal="right"/>
    </xf>
    <xf numFmtId="171" fontId="0" fillId="0" borderId="0" xfId="0" applyNumberFormat="1"/>
    <xf numFmtId="0" fontId="0" fillId="0" borderId="40" xfId="0" applyNumberFormat="1" applyBorder="1"/>
    <xf numFmtId="0" fontId="0" fillId="0" borderId="47" xfId="0" applyBorder="1"/>
    <xf numFmtId="0" fontId="0" fillId="0" borderId="41" xfId="0" applyBorder="1"/>
    <xf numFmtId="0" fontId="0" fillId="0" borderId="2" xfId="0" applyNumberFormat="1" applyBorder="1"/>
    <xf numFmtId="0" fontId="0" fillId="0" borderId="2" xfId="0" applyBorder="1"/>
    <xf numFmtId="0" fontId="4" fillId="0" borderId="0" xfId="0" applyFont="1" applyBorder="1"/>
    <xf numFmtId="0" fontId="4" fillId="0" borderId="3" xfId="0" applyFont="1" applyBorder="1"/>
    <xf numFmtId="168" fontId="0" fillId="0" borderId="4" xfId="0" applyNumberFormat="1" applyBorder="1"/>
    <xf numFmtId="0" fontId="4" fillId="0" borderId="14" xfId="0" applyFont="1" applyBorder="1"/>
    <xf numFmtId="0" fontId="4" fillId="0" borderId="62" xfId="0" applyFont="1" applyBorder="1"/>
    <xf numFmtId="14" fontId="13" fillId="0" borderId="8" xfId="0" applyNumberFormat="1" applyFont="1" applyBorder="1" applyAlignment="1">
      <alignment horizontal="center" vertical="center"/>
    </xf>
    <xf numFmtId="14" fontId="13" fillId="0" borderId="13" xfId="0" applyNumberFormat="1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172" fontId="10" fillId="0" borderId="9" xfId="0" applyNumberFormat="1" applyFont="1" applyFill="1" applyBorder="1" applyAlignment="1">
      <alignment horizontal="center"/>
    </xf>
    <xf numFmtId="172" fontId="10" fillId="0" borderId="34" xfId="0" applyNumberFormat="1" applyFont="1" applyFill="1" applyBorder="1" applyAlignment="1">
      <alignment horizontal="center"/>
    </xf>
    <xf numFmtId="172" fontId="10" fillId="0" borderId="12" xfId="0" applyNumberFormat="1" applyFont="1" applyFill="1" applyBorder="1" applyAlignment="1">
      <alignment horizontal="center"/>
    </xf>
    <xf numFmtId="172" fontId="10" fillId="0" borderId="29" xfId="0" applyNumberFormat="1" applyFont="1" applyFill="1" applyBorder="1" applyAlignment="1">
      <alignment horizontal="center"/>
    </xf>
    <xf numFmtId="173" fontId="20" fillId="0" borderId="10" xfId="0" applyNumberFormat="1" applyFont="1" applyBorder="1" applyAlignment="1">
      <alignment horizontal="right"/>
    </xf>
    <xf numFmtId="173" fontId="20" fillId="0" borderId="11" xfId="0" applyNumberFormat="1" applyFont="1" applyBorder="1" applyAlignment="1">
      <alignment horizontal="left"/>
    </xf>
    <xf numFmtId="172" fontId="19" fillId="0" borderId="30" xfId="0" applyNumberFormat="1" applyFont="1" applyBorder="1" applyAlignment="1">
      <alignment horizontal="left"/>
    </xf>
    <xf numFmtId="172" fontId="18" fillId="0" borderId="11" xfId="0" applyNumberFormat="1" applyFont="1" applyBorder="1" applyAlignment="1">
      <alignment horizontal="left"/>
    </xf>
    <xf numFmtId="172" fontId="18" fillId="0" borderId="32" xfId="0" applyNumberFormat="1" applyFont="1" applyBorder="1" applyAlignment="1">
      <alignment horizontal="left"/>
    </xf>
    <xf numFmtId="172" fontId="18" fillId="0" borderId="28" xfId="0" applyNumberFormat="1" applyFont="1" applyBorder="1" applyAlignment="1">
      <alignment horizontal="left"/>
    </xf>
    <xf numFmtId="172" fontId="18" fillId="0" borderId="16" xfId="0" applyNumberFormat="1" applyFont="1" applyBorder="1" applyAlignment="1">
      <alignment horizontal="left"/>
    </xf>
    <xf numFmtId="172" fontId="26" fillId="0" borderId="51" xfId="0" applyNumberFormat="1" applyFont="1" applyBorder="1" applyAlignment="1">
      <alignment horizontal="left"/>
    </xf>
    <xf numFmtId="172" fontId="1" fillId="0" borderId="39" xfId="0" applyNumberFormat="1" applyFont="1" applyBorder="1"/>
    <xf numFmtId="172" fontId="9" fillId="0" borderId="16" xfId="0" applyNumberFormat="1" applyFont="1" applyBorder="1" applyAlignment="1">
      <alignment horizontal="left"/>
    </xf>
    <xf numFmtId="172" fontId="9" fillId="0" borderId="53" xfId="0" applyNumberFormat="1" applyFont="1" applyBorder="1" applyAlignment="1">
      <alignment horizontal="left"/>
    </xf>
    <xf numFmtId="172" fontId="1" fillId="0" borderId="16" xfId="0" applyNumberFormat="1" applyFont="1" applyBorder="1" applyAlignment="1">
      <alignment horizontal="left"/>
    </xf>
    <xf numFmtId="172" fontId="1" fillId="0" borderId="11" xfId="0" applyNumberFormat="1" applyFont="1" applyBorder="1" applyAlignment="1">
      <alignment horizontal="left"/>
    </xf>
    <xf numFmtId="172" fontId="9" fillId="0" borderId="13" xfId="0" applyNumberFormat="1" applyFont="1" applyBorder="1" applyAlignment="1">
      <alignment horizontal="left"/>
    </xf>
    <xf numFmtId="172" fontId="10" fillId="0" borderId="27" xfId="0" applyNumberFormat="1" applyFont="1" applyFill="1" applyBorder="1" applyAlignment="1">
      <alignment horizontal="center"/>
    </xf>
    <xf numFmtId="172" fontId="10" fillId="0" borderId="13" xfId="0" applyNumberFormat="1" applyFont="1" applyFill="1" applyBorder="1" applyAlignment="1">
      <alignment horizontal="center"/>
    </xf>
    <xf numFmtId="173" fontId="22" fillId="0" borderId="10" xfId="0" applyNumberFormat="1" applyFont="1" applyBorder="1" applyAlignment="1">
      <alignment horizontal="right"/>
    </xf>
    <xf numFmtId="173" fontId="22" fillId="0" borderId="11" xfId="0" applyNumberFormat="1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right"/>
    </xf>
    <xf numFmtId="0" fontId="20" fillId="0" borderId="10" xfId="0" applyFont="1" applyBorder="1" applyAlignment="1">
      <alignment horizontal="right"/>
    </xf>
    <xf numFmtId="0" fontId="10" fillId="0" borderId="2" xfId="0" applyFont="1" applyFill="1" applyBorder="1" applyAlignment="1">
      <alignment horizontal="center"/>
    </xf>
    <xf numFmtId="172" fontId="10" fillId="0" borderId="31" xfId="0" applyNumberFormat="1" applyFont="1" applyFill="1" applyBorder="1" applyAlignment="1">
      <alignment horizontal="center"/>
    </xf>
    <xf numFmtId="172" fontId="10" fillId="0" borderId="63" xfId="0" applyNumberFormat="1" applyFont="1" applyFill="1" applyBorder="1" applyAlignment="1">
      <alignment horizontal="center"/>
    </xf>
    <xf numFmtId="0" fontId="0" fillId="0" borderId="0" xfId="0" applyBorder="1" applyAlignment="1">
      <alignment horizontal="right"/>
    </xf>
    <xf numFmtId="0" fontId="14" fillId="0" borderId="31" xfId="0" applyFont="1" applyBorder="1" applyAlignment="1">
      <alignment horizontal="right"/>
    </xf>
    <xf numFmtId="172" fontId="9" fillId="0" borderId="39" xfId="0" applyNumberFormat="1" applyFont="1" applyBorder="1" applyAlignment="1">
      <alignment horizontal="left"/>
    </xf>
    <xf numFmtId="0" fontId="9" fillId="0" borderId="17" xfId="0" applyFont="1" applyFill="1" applyBorder="1" applyAlignment="1">
      <alignment horizontal="right"/>
    </xf>
    <xf numFmtId="172" fontId="9" fillId="0" borderId="18" xfId="0" applyNumberFormat="1" applyFont="1" applyBorder="1" applyAlignment="1">
      <alignment horizontal="left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7" xfId="0" applyBorder="1" applyAlignment="1">
      <alignment horizontal="center"/>
    </xf>
    <xf numFmtId="0" fontId="17" fillId="0" borderId="21" xfId="0" applyFont="1" applyFill="1" applyBorder="1" applyAlignment="1">
      <alignment horizontal="center"/>
    </xf>
    <xf numFmtId="0" fontId="17" fillId="0" borderId="22" xfId="0" applyFont="1" applyFill="1" applyBorder="1" applyAlignment="1">
      <alignment horizontal="center"/>
    </xf>
    <xf numFmtId="0" fontId="17" fillId="0" borderId="46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36" xfId="0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4" fontId="0" fillId="0" borderId="0" xfId="0" applyNumberFormat="1" applyFont="1" applyBorder="1" applyAlignment="1">
      <alignment horizontal="center" vertical="center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2">
    <dxf>
      <font>
        <color auto="1"/>
      </font>
      <fill>
        <patternFill patternType="none">
          <bgColor auto="1"/>
        </patternFill>
      </fill>
      <border>
        <right style="thin">
          <color theme="0"/>
        </right>
        <bottom style="thin">
          <color theme="0"/>
        </bottom>
      </border>
    </dxf>
    <dxf>
      <font>
        <color auto="1"/>
      </font>
      <fill>
        <patternFill patternType="none">
          <bgColor auto="1"/>
        </patternFill>
      </fill>
      <border>
        <right style="thin">
          <color theme="0"/>
        </right>
        <bottom style="thin">
          <color theme="0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31"/>
  <sheetViews>
    <sheetView tabSelected="1" workbookViewId="0">
      <selection activeCell="G1" sqref="G1:P1"/>
    </sheetView>
  </sheetViews>
  <sheetFormatPr baseColWidth="10" defaultRowHeight="16"/>
  <cols>
    <col min="1" max="4" width="0.33203125" customWidth="1"/>
    <col min="5" max="6" width="7.83203125" customWidth="1"/>
    <col min="7" max="7" width="7.5" customWidth="1"/>
    <col min="8" max="8" width="7.83203125" customWidth="1"/>
    <col min="9" max="9" width="7.5" customWidth="1"/>
    <col min="10" max="11" width="7.83203125" customWidth="1"/>
    <col min="12" max="12" width="8.5" customWidth="1"/>
    <col min="13" max="13" width="8" customWidth="1"/>
    <col min="14" max="14" width="7.83203125" customWidth="1"/>
    <col min="15" max="15" width="7.33203125" customWidth="1"/>
    <col min="16" max="16" width="7.1640625" customWidth="1"/>
    <col min="17" max="17" width="2.33203125" bestFit="1" customWidth="1"/>
    <col min="20" max="20" width="19.5" bestFit="1" customWidth="1"/>
    <col min="21" max="29" width="1.5" bestFit="1" customWidth="1"/>
    <col min="30" max="31" width="2.1640625" bestFit="1" customWidth="1"/>
  </cols>
  <sheetData>
    <row r="1" spans="5:31" ht="17" thickBot="1">
      <c r="E1" s="176" t="s">
        <v>3</v>
      </c>
      <c r="F1" s="177"/>
      <c r="G1" s="181" t="s">
        <v>43</v>
      </c>
      <c r="H1" s="182"/>
      <c r="I1" s="182"/>
      <c r="J1" s="182"/>
      <c r="K1" s="182"/>
      <c r="L1" s="182"/>
      <c r="M1" s="182"/>
      <c r="N1" s="182"/>
      <c r="O1" s="182"/>
      <c r="P1" s="183"/>
      <c r="S1" s="36" t="s">
        <v>29</v>
      </c>
      <c r="T1" s="61" t="str">
        <f>IF(G13&lt;&gt;"","NO","YES")</f>
        <v>YES</v>
      </c>
    </row>
    <row r="2" spans="5:31" ht="17" thickBot="1">
      <c r="E2" s="93"/>
      <c r="F2" s="94"/>
      <c r="G2" s="12"/>
      <c r="H2" s="107" t="s">
        <v>0</v>
      </c>
      <c r="I2" s="147">
        <v>21</v>
      </c>
      <c r="J2" s="12"/>
      <c r="K2" s="73" t="s">
        <v>0</v>
      </c>
      <c r="L2" s="153">
        <f>I2*L3</f>
        <v>504</v>
      </c>
      <c r="M2" s="12"/>
      <c r="N2" s="174" t="s">
        <v>4</v>
      </c>
      <c r="O2" s="175"/>
      <c r="P2" s="60" t="s">
        <v>25</v>
      </c>
      <c r="S2" s="35" t="s">
        <v>30</v>
      </c>
      <c r="T2" s="34" t="s">
        <v>31</v>
      </c>
    </row>
    <row r="3" spans="5:31" s="1" customFormat="1" ht="20" thickBot="1">
      <c r="E3" s="95" t="s">
        <v>1</v>
      </c>
      <c r="F3" s="96" t="s">
        <v>2</v>
      </c>
      <c r="G3" s="62"/>
      <c r="H3" s="95" t="s">
        <v>19</v>
      </c>
      <c r="I3" s="108">
        <v>1</v>
      </c>
      <c r="J3" s="62"/>
      <c r="K3" s="74" t="s">
        <v>19</v>
      </c>
      <c r="L3" s="31">
        <v>24</v>
      </c>
      <c r="M3" s="62"/>
      <c r="N3" s="86">
        <f>IF(LOWER($H$10)="phusion",98,95)</f>
        <v>95</v>
      </c>
      <c r="O3" s="87">
        <v>6.9444444444444447E-4</v>
      </c>
      <c r="P3" s="138">
        <f ca="1">IF(G1="name here", TODAY(), P3)</f>
        <v>43970</v>
      </c>
      <c r="S3" s="1" t="s">
        <v>22</v>
      </c>
      <c r="T3" s="1" t="str">
        <f ca="1">TEXT(P3,"yyyy.mm.dd")&amp;" "&amp;G1&amp;" PCR"</f>
        <v>2020.05.19 Name here PCR</v>
      </c>
    </row>
    <row r="4" spans="5:31" ht="20" thickBot="1">
      <c r="E4" s="97">
        <v>1</v>
      </c>
      <c r="F4" s="98">
        <f>I4*E4/$I$2</f>
        <v>0.62380952380952381</v>
      </c>
      <c r="G4" s="12"/>
      <c r="H4" s="109" t="s">
        <v>20</v>
      </c>
      <c r="I4" s="148">
        <f>I2-SUM(I5:I11)</f>
        <v>13.1</v>
      </c>
      <c r="J4" s="12"/>
      <c r="K4" s="164" t="str">
        <f t="shared" ref="K4:K10" si="0">H4</f>
        <v>H2O</v>
      </c>
      <c r="L4" s="154">
        <f>$L$3*I4</f>
        <v>314.39999999999998</v>
      </c>
      <c r="M4" s="12" t="str">
        <f>IF(AND(L4&gt;1000,L4&lt;&gt;""),ROUND(L4/(CEILING(L4/1000,1)),0)&amp;"µL x"&amp;CEILING(L4/1000,1),"")</f>
        <v/>
      </c>
      <c r="N4" s="88">
        <f>IF(LOWER($H$10)="phusion",98,95)</f>
        <v>95</v>
      </c>
      <c r="O4" s="89">
        <v>2.3148148148148146E-4</v>
      </c>
      <c r="P4" s="76" t="s">
        <v>17</v>
      </c>
    </row>
    <row r="5" spans="5:31" ht="20" thickBot="1">
      <c r="E5" s="99">
        <f>IF(LOWER($H$10)="phusion",5,10)</f>
        <v>10</v>
      </c>
      <c r="F5" s="100">
        <f>I5*E5/$I$2</f>
        <v>1</v>
      </c>
      <c r="G5" s="12"/>
      <c r="H5" s="109" t="s">
        <v>23</v>
      </c>
      <c r="I5" s="148">
        <f>ROUND($I$2/E5,1)</f>
        <v>2.1</v>
      </c>
      <c r="J5" s="12"/>
      <c r="K5" s="164" t="str">
        <f t="shared" si="0"/>
        <v>buffer</v>
      </c>
      <c r="L5" s="154">
        <f>$L$3*I5</f>
        <v>50.400000000000006</v>
      </c>
      <c r="M5" s="12" t="str">
        <f t="shared" ref="M5:M11" si="1">IF(AND(L5&gt;1000,L5&lt;&gt;""),ROUND(L5/(CEILING(L5/1000,1)),0)&amp;"µL x"&amp;CEILING(L5/1000,1),"")</f>
        <v/>
      </c>
      <c r="N5" s="90">
        <f>F17</f>
        <v>55</v>
      </c>
      <c r="O5" s="91">
        <v>2.3148148148148146E-4</v>
      </c>
      <c r="P5" s="77">
        <v>35</v>
      </c>
    </row>
    <row r="6" spans="5:31" ht="20" thickBot="1">
      <c r="E6" s="101">
        <v>2.5</v>
      </c>
      <c r="F6" s="102">
        <f>ROUND(I6*E6/$I$2,3)</f>
        <v>0.25</v>
      </c>
      <c r="G6" s="12"/>
      <c r="H6" s="109" t="s">
        <v>24</v>
      </c>
      <c r="I6" s="148">
        <f>ROUND($I$2/10,1)</f>
        <v>2.1</v>
      </c>
      <c r="J6" s="12"/>
      <c r="K6" s="164" t="str">
        <f t="shared" si="0"/>
        <v>dNTPs</v>
      </c>
      <c r="L6" s="154">
        <f>$L$3*I6</f>
        <v>50.400000000000006</v>
      </c>
      <c r="M6" s="12" t="str">
        <f t="shared" si="1"/>
        <v/>
      </c>
      <c r="N6" s="78">
        <f>IF(LOWER($H$10)="phusion",72,68)</f>
        <v>68</v>
      </c>
      <c r="O6" s="80">
        <v>2.3148148148148146E-4</v>
      </c>
      <c r="P6" s="92" t="s">
        <v>18</v>
      </c>
      <c r="S6" s="43"/>
    </row>
    <row r="7" spans="5:31" ht="20" thickBot="1">
      <c r="E7" s="103">
        <v>10</v>
      </c>
      <c r="F7" s="104">
        <f>ROUND(I7*E7/$I$2,3)</f>
        <v>0.52400000000000002</v>
      </c>
      <c r="G7" s="12"/>
      <c r="H7" s="165" t="s">
        <v>41</v>
      </c>
      <c r="I7" s="148">
        <f>ROUND($I$2/20,1)</f>
        <v>1.1000000000000001</v>
      </c>
      <c r="J7" s="12"/>
      <c r="K7" s="164" t="str">
        <f t="shared" si="0"/>
        <v>Fwd prm</v>
      </c>
      <c r="L7" s="154">
        <f>IF(OR(LOWER(T1)="no",LOWER(T1)="n"),0,$L$3*I7)</f>
        <v>26.400000000000002</v>
      </c>
      <c r="M7" s="12" t="str">
        <f t="shared" si="1"/>
        <v/>
      </c>
      <c r="N7" s="79">
        <f>IF(LOWER($H$10)="phusion",72,68)</f>
        <v>68</v>
      </c>
      <c r="O7" s="81">
        <v>1.3888888888888889E-3</v>
      </c>
      <c r="P7" s="63"/>
      <c r="S7" s="184" t="s">
        <v>39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</row>
    <row r="8" spans="5:31" ht="20" thickBot="1">
      <c r="E8" s="103">
        <v>10</v>
      </c>
      <c r="F8" s="104">
        <f>ROUND(I8*E8/$I$2,3)</f>
        <v>0.52400000000000002</v>
      </c>
      <c r="G8" s="169"/>
      <c r="H8" s="109" t="s">
        <v>42</v>
      </c>
      <c r="I8" s="148">
        <f>ROUND($I$2/20,1)</f>
        <v>1.1000000000000001</v>
      </c>
      <c r="J8" s="169"/>
      <c r="K8" s="164" t="str">
        <f t="shared" si="0"/>
        <v>Rev prm</v>
      </c>
      <c r="L8" s="154">
        <f>IF(OR(LOWER(T1)="no",LOWER(T1)="n"),0,$L$3*I8)</f>
        <v>26.400000000000002</v>
      </c>
      <c r="M8" s="12" t="str">
        <f t="shared" si="1"/>
        <v/>
      </c>
      <c r="N8" s="86">
        <v>4</v>
      </c>
      <c r="O8" s="87">
        <v>0</v>
      </c>
      <c r="P8" s="63"/>
      <c r="S8" s="128">
        <f ca="1">(L3-S9)/S10</f>
        <v>24</v>
      </c>
      <c r="T8" s="129" t="s">
        <v>36</v>
      </c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30"/>
    </row>
    <row r="9" spans="5:31" ht="20" thickBot="1">
      <c r="E9" s="145">
        <v>10</v>
      </c>
      <c r="F9" s="146">
        <f>ROUND(I9*E9/$I$2,3)</f>
        <v>0.47599999999999998</v>
      </c>
      <c r="G9" s="12"/>
      <c r="H9" s="110" t="s">
        <v>6</v>
      </c>
      <c r="I9" s="150">
        <v>1</v>
      </c>
      <c r="J9" s="12"/>
      <c r="K9" s="164" t="str">
        <f t="shared" si="0"/>
        <v>DNA</v>
      </c>
      <c r="L9" s="154">
        <f>IF(OR(LOWER(T2)="no",LOWER(T2)="n"),0,$L$3*I9)</f>
        <v>0</v>
      </c>
      <c r="M9" s="12" t="str">
        <f t="shared" si="1"/>
        <v/>
      </c>
      <c r="N9" s="51" t="s">
        <v>5</v>
      </c>
      <c r="O9" s="52">
        <f>O3+SUM(O4:O6)*P5+SUM(O7:O8)+TIME(,,5+((25-N3)*IF(25&gt;N3,0.45,-0.514285714))+((N3-N4)*IF(N3&gt;N4,0.45,-0.514285714))+((N4-N5)*IF(N4&gt;N5,0.45,-0.514285714))+((N5-N6)*IF(N5&gt;N6,0.45,-0.514285714))+((N6-N7)*IF(N6&gt;N7,0.45,-0.514285714))+((N7-N8)*IF(N7&gt;N8,0.45,-0.514285714)))+TIME(,,2+((N4-N5)*IF(N4&gt;N5,0.45,-0.514285714))+((N5-N6)*IF(N5&gt;N6,0.45,-0.514285714))+((N6-N4)*IF(N6&gt;N4,0.45,-0.514285714)))*(P5-1)</f>
        <v>4.3217592592592585E-2</v>
      </c>
      <c r="P9" s="64"/>
      <c r="S9" s="131">
        <f>SUM(U14:AD14)</f>
        <v>0</v>
      </c>
      <c r="T9" s="12" t="s">
        <v>34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54"/>
    </row>
    <row r="10" spans="5:31" ht="19">
      <c r="E10" s="97">
        <v>1</v>
      </c>
      <c r="F10" s="98">
        <f>I10*E10/$I$2</f>
        <v>2.3809523809523808E-2</v>
      </c>
      <c r="G10" s="12"/>
      <c r="H10" s="109" t="s">
        <v>46</v>
      </c>
      <c r="I10" s="151">
        <v>0.5</v>
      </c>
      <c r="J10" s="12"/>
      <c r="K10" s="164" t="str">
        <f t="shared" si="0"/>
        <v>Taq</v>
      </c>
      <c r="L10" s="154">
        <f>$L$3*I10</f>
        <v>12</v>
      </c>
      <c r="M10" s="12" t="str">
        <f t="shared" si="1"/>
        <v/>
      </c>
      <c r="N10" s="12"/>
      <c r="O10" s="12"/>
      <c r="P10" s="64"/>
      <c r="S10" s="131">
        <f ca="1">MIN((SUMPRODUCT(--_xlfn.ISFORMULA(F13:P13))-COUNTIF(F13:P13,"")),S12)</f>
        <v>1</v>
      </c>
      <c r="T10" s="12" t="s">
        <v>32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54"/>
    </row>
    <row r="11" spans="5:31" ht="20" thickBot="1">
      <c r="E11" s="123" t="str">
        <f>IF(CONCATENATE($H$11,$I$11)="","",100%)</f>
        <v/>
      </c>
      <c r="F11" s="98" t="str">
        <f>IF(CONCATENATE($H$11,$I$11)="","",I11*E11/$I$2)</f>
        <v/>
      </c>
      <c r="G11" s="12"/>
      <c r="H11" s="111" t="str">
        <f>""</f>
        <v/>
      </c>
      <c r="I11" s="148" t="str">
        <f>IF(H11="","",0)</f>
        <v/>
      </c>
      <c r="J11" s="12"/>
      <c r="K11" s="170" t="str">
        <f>IF(H11="","",H11)</f>
        <v/>
      </c>
      <c r="L11" s="171" t="str">
        <f>IF(I11="","",I11*$L$3)</f>
        <v/>
      </c>
      <c r="M11" s="12" t="str">
        <f t="shared" si="1"/>
        <v/>
      </c>
      <c r="N11" s="12"/>
      <c r="O11" s="12"/>
      <c r="P11" s="54"/>
      <c r="S11" s="131">
        <f ca="1">MIN(COUNT(F13:P13),S12)</f>
        <v>1</v>
      </c>
      <c r="T11" s="12" t="s">
        <v>33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54"/>
    </row>
    <row r="12" spans="5:31" ht="22" thickBot="1">
      <c r="E12" s="105"/>
      <c r="F12" s="106"/>
      <c r="G12" s="65"/>
      <c r="H12" s="126" t="s">
        <v>38</v>
      </c>
      <c r="I12" s="152">
        <f>SUM(I4:I11)</f>
        <v>21.000000000000004</v>
      </c>
      <c r="J12" s="83"/>
      <c r="K12" s="172" t="str">
        <f>H12</f>
        <v>SUM</v>
      </c>
      <c r="L12" s="173">
        <f>SUM(L4:L11)</f>
        <v>479.99999999999989</v>
      </c>
      <c r="M12" s="83"/>
      <c r="N12" s="178" t="str">
        <f ca="1">IF(E13&gt;0,IF(SUM(F13:P13)=SUM($L$3),IF(E13&gt;S12,"TOO MANY SPLIT RXNS",CONCATENATE("TOT: ",L3,"rxns")),CONCATENATE("ERR ",SUM(F13:P13)-L3)),"")</f>
        <v>TOT: 24rxns</v>
      </c>
      <c r="O12" s="179"/>
      <c r="P12" s="180"/>
      <c r="S12" s="131">
        <v>11</v>
      </c>
      <c r="T12" s="12" t="s">
        <v>35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54"/>
    </row>
    <row r="13" spans="5:31" ht="17" thickBot="1">
      <c r="E13" s="33">
        <v>1</v>
      </c>
      <c r="F13" s="57">
        <f ca="1">IF($E$13&gt;=COLUMN(F13)-COLUMN($E$13),$S$8,"")</f>
        <v>24</v>
      </c>
      <c r="G13" s="49" t="str">
        <f t="shared" ref="G13:P13" si="2">IF($E$13&gt;=COLUMN(G13)-COLUMN($E$13),$S$8,"")</f>
        <v/>
      </c>
      <c r="H13" s="49" t="str">
        <f t="shared" si="2"/>
        <v/>
      </c>
      <c r="I13" s="49" t="str">
        <f t="shared" si="2"/>
        <v/>
      </c>
      <c r="J13" s="49" t="str">
        <f t="shared" si="2"/>
        <v/>
      </c>
      <c r="K13" s="49" t="str">
        <f t="shared" si="2"/>
        <v/>
      </c>
      <c r="L13" s="49" t="str">
        <f t="shared" si="2"/>
        <v/>
      </c>
      <c r="M13" s="49" t="str">
        <f t="shared" si="2"/>
        <v/>
      </c>
      <c r="N13" s="49" t="str">
        <f t="shared" si="2"/>
        <v/>
      </c>
      <c r="O13" s="49" t="str">
        <f t="shared" si="2"/>
        <v/>
      </c>
      <c r="P13" s="49" t="str">
        <f t="shared" si="2"/>
        <v/>
      </c>
      <c r="S13" s="132"/>
      <c r="T13" s="12"/>
      <c r="U13" s="133">
        <v>1</v>
      </c>
      <c r="V13" s="133">
        <v>2</v>
      </c>
      <c r="W13" s="133">
        <v>3</v>
      </c>
      <c r="X13" s="133">
        <v>4</v>
      </c>
      <c r="Y13" s="133">
        <v>5</v>
      </c>
      <c r="Z13" s="133">
        <v>6</v>
      </c>
      <c r="AA13" s="133">
        <v>7</v>
      </c>
      <c r="AB13" s="133">
        <v>8</v>
      </c>
      <c r="AC13" s="133">
        <v>9</v>
      </c>
      <c r="AD13" s="133">
        <v>10</v>
      </c>
      <c r="AE13" s="134">
        <v>11</v>
      </c>
    </row>
    <row r="14" spans="5:31" ht="17" thickBot="1">
      <c r="E14" s="44" t="s">
        <v>26</v>
      </c>
      <c r="F14" s="163" t="s">
        <v>47</v>
      </c>
      <c r="G14" s="163" t="str">
        <f>IF(G13="","","PCR"&amp;COLUMN(G13)-5)</f>
        <v/>
      </c>
      <c r="H14" s="163" t="str">
        <f t="shared" ref="H14:P14" si="3">IF(H13="","","PCR"&amp;COLUMN(H13)-5)</f>
        <v/>
      </c>
      <c r="I14" s="163" t="str">
        <f t="shared" si="3"/>
        <v/>
      </c>
      <c r="J14" s="163" t="str">
        <f t="shared" si="3"/>
        <v/>
      </c>
      <c r="K14" s="163" t="str">
        <f t="shared" si="3"/>
        <v/>
      </c>
      <c r="L14" s="163" t="str">
        <f t="shared" si="3"/>
        <v/>
      </c>
      <c r="M14" s="163" t="str">
        <f t="shared" si="3"/>
        <v/>
      </c>
      <c r="N14" s="163" t="str">
        <f t="shared" si="3"/>
        <v/>
      </c>
      <c r="O14" s="163" t="str">
        <f t="shared" si="3"/>
        <v/>
      </c>
      <c r="P14" s="163" t="str">
        <f t="shared" si="3"/>
        <v/>
      </c>
      <c r="S14" s="135"/>
      <c r="T14" s="65" t="s">
        <v>37</v>
      </c>
      <c r="U14" s="136">
        <f>IF(_xlfn.ISFORMULA(F13),0,F13)</f>
        <v>0</v>
      </c>
      <c r="V14" s="136">
        <f t="shared" ref="V14:AE14" si="4">IF(_xlfn.ISFORMULA(G13),0,G13)</f>
        <v>0</v>
      </c>
      <c r="W14" s="136">
        <f t="shared" si="4"/>
        <v>0</v>
      </c>
      <c r="X14" s="136">
        <f t="shared" si="4"/>
        <v>0</v>
      </c>
      <c r="Y14" s="136">
        <f t="shared" si="4"/>
        <v>0</v>
      </c>
      <c r="Z14" s="136">
        <f t="shared" si="4"/>
        <v>0</v>
      </c>
      <c r="AA14" s="136">
        <f t="shared" si="4"/>
        <v>0</v>
      </c>
      <c r="AB14" s="136">
        <f t="shared" si="4"/>
        <v>0</v>
      </c>
      <c r="AC14" s="136">
        <f t="shared" si="4"/>
        <v>0</v>
      </c>
      <c r="AD14" s="136">
        <f t="shared" si="4"/>
        <v>0</v>
      </c>
      <c r="AE14" s="137">
        <f t="shared" si="4"/>
        <v>0</v>
      </c>
    </row>
    <row r="15" spans="5:31" ht="17" thickBot="1">
      <c r="E15" s="45" t="s">
        <v>16</v>
      </c>
      <c r="F15" s="55" t="s">
        <v>44</v>
      </c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5:31" ht="17" thickBot="1">
      <c r="E16" s="32" t="s">
        <v>27</v>
      </c>
      <c r="F16" s="56" t="s">
        <v>45</v>
      </c>
      <c r="G16" s="48"/>
      <c r="H16" s="48"/>
      <c r="I16" s="48"/>
      <c r="J16" s="48"/>
      <c r="K16" s="48"/>
      <c r="L16" s="48"/>
      <c r="M16" s="48"/>
      <c r="N16" s="48"/>
      <c r="O16" s="48"/>
      <c r="P16" s="48"/>
      <c r="S16" s="43"/>
    </row>
    <row r="17" spans="2:19" ht="17" thickBot="1">
      <c r="B17" s="4"/>
      <c r="C17" s="4"/>
      <c r="E17" s="46" t="s">
        <v>28</v>
      </c>
      <c r="F17" s="69">
        <v>55</v>
      </c>
      <c r="G17" s="70" t="str">
        <f>IF(G13="","",F17)</f>
        <v/>
      </c>
      <c r="H17" s="70" t="str">
        <f t="shared" ref="H17:P17" si="5">IF(H13="","",G17)</f>
        <v/>
      </c>
      <c r="I17" s="70" t="str">
        <f t="shared" si="5"/>
        <v/>
      </c>
      <c r="J17" s="70" t="str">
        <f t="shared" si="5"/>
        <v/>
      </c>
      <c r="K17" s="70" t="str">
        <f t="shared" si="5"/>
        <v/>
      </c>
      <c r="L17" s="70" t="str">
        <f t="shared" si="5"/>
        <v/>
      </c>
      <c r="M17" s="70" t="str">
        <f t="shared" si="5"/>
        <v/>
      </c>
      <c r="N17" s="70" t="str">
        <f t="shared" si="5"/>
        <v/>
      </c>
      <c r="O17" s="70" t="str">
        <f t="shared" si="5"/>
        <v/>
      </c>
      <c r="P17" s="70" t="str">
        <f t="shared" si="5"/>
        <v/>
      </c>
    </row>
    <row r="18" spans="2:19" ht="17" thickBot="1">
      <c r="E18" s="32" t="s">
        <v>21</v>
      </c>
      <c r="F18" s="141">
        <f ca="1">IF(F13="","",ROUND($L$12*F13/$L$3,2))</f>
        <v>480</v>
      </c>
      <c r="G18" s="142" t="str">
        <f t="shared" ref="G18:P18" si="6">IF(G13="","",ROUND($L$12*G13/$L$3,2))</f>
        <v/>
      </c>
      <c r="H18" s="142" t="str">
        <f t="shared" si="6"/>
        <v/>
      </c>
      <c r="I18" s="142" t="str">
        <f t="shared" si="6"/>
        <v/>
      </c>
      <c r="J18" s="142" t="str">
        <f t="shared" si="6"/>
        <v/>
      </c>
      <c r="K18" s="142" t="str">
        <f t="shared" si="6"/>
        <v/>
      </c>
      <c r="L18" s="142" t="str">
        <f t="shared" si="6"/>
        <v/>
      </c>
      <c r="M18" s="142" t="str">
        <f t="shared" si="6"/>
        <v/>
      </c>
      <c r="N18" s="142" t="str">
        <f t="shared" si="6"/>
        <v/>
      </c>
      <c r="O18" s="142" t="str">
        <f t="shared" si="6"/>
        <v/>
      </c>
      <c r="P18" s="142" t="str">
        <f t="shared" si="6"/>
        <v/>
      </c>
      <c r="S18" s="127"/>
    </row>
    <row r="19" spans="2:19" ht="17" thickBot="1">
      <c r="E19" s="166" t="s">
        <v>40</v>
      </c>
      <c r="F19" s="167">
        <f ca="1">IF(F13="","",ROUND($I$7*F13,2))</f>
        <v>26.4</v>
      </c>
      <c r="G19" s="168" t="str">
        <f t="shared" ref="G19:P19" si="7">IF(G13="","",ROUND($I$7*G13,2))</f>
        <v/>
      </c>
      <c r="H19" s="168" t="str">
        <f t="shared" si="7"/>
        <v/>
      </c>
      <c r="I19" s="168" t="str">
        <f t="shared" si="7"/>
        <v/>
      </c>
      <c r="J19" s="168" t="str">
        <f>IF(J13="","",ROUND($I$7*J13,2))</f>
        <v/>
      </c>
      <c r="K19" s="168" t="str">
        <f t="shared" si="7"/>
        <v/>
      </c>
      <c r="L19" s="168" t="str">
        <f t="shared" si="7"/>
        <v/>
      </c>
      <c r="M19" s="168" t="str">
        <f t="shared" si="7"/>
        <v/>
      </c>
      <c r="N19" s="168" t="str">
        <f t="shared" si="7"/>
        <v/>
      </c>
      <c r="O19" s="168" t="str">
        <f t="shared" si="7"/>
        <v/>
      </c>
      <c r="P19" s="144" t="str">
        <f t="shared" si="7"/>
        <v/>
      </c>
    </row>
    <row r="20" spans="2:19">
      <c r="B20" s="4"/>
      <c r="C20" s="4"/>
      <c r="F20" s="12" t="str">
        <f ca="1">IF(AND(F19&gt;1000,F19&lt;&gt;""),ROUND(F19/(CEILING(F19/1000,1)),0)&amp;"µL x"&amp;CEILING(F19/1000,1),"")</f>
        <v/>
      </c>
      <c r="G20" s="12" t="str">
        <f t="shared" ref="G20:P20" si="8">IF(AND(G19&gt;1000,G19&lt;&gt;""),ROUND(G19/(CEILING(G19/1000,1)),0)&amp;"µL x"&amp;CEILING(G19/1000,1),"")</f>
        <v/>
      </c>
      <c r="H20" s="12" t="str">
        <f t="shared" si="8"/>
        <v/>
      </c>
      <c r="I20" s="12" t="str">
        <f t="shared" si="8"/>
        <v/>
      </c>
      <c r="J20" s="12" t="str">
        <f t="shared" si="8"/>
        <v/>
      </c>
      <c r="K20" s="12" t="str">
        <f t="shared" si="8"/>
        <v/>
      </c>
      <c r="L20" s="12" t="str">
        <f t="shared" si="8"/>
        <v/>
      </c>
      <c r="M20" s="12" t="str">
        <f t="shared" si="8"/>
        <v/>
      </c>
      <c r="N20" s="12" t="str">
        <f t="shared" si="8"/>
        <v/>
      </c>
      <c r="O20" s="12" t="str">
        <f t="shared" si="8"/>
        <v/>
      </c>
      <c r="P20" s="12" t="str">
        <f t="shared" si="8"/>
        <v/>
      </c>
    </row>
    <row r="21" spans="2:19" ht="16" customHeight="1">
      <c r="B21" s="4"/>
      <c r="C21" s="4"/>
      <c r="L21" s="75"/>
    </row>
    <row r="22" spans="2:19" ht="16" customHeight="1">
      <c r="B22" s="4"/>
      <c r="C22" s="4"/>
    </row>
    <row r="23" spans="2:19" ht="16" customHeight="1">
      <c r="B23" s="4"/>
      <c r="C23" s="4"/>
    </row>
    <row r="24" spans="2:19" ht="16" customHeight="1">
      <c r="B24" s="4"/>
      <c r="C24" s="4"/>
    </row>
    <row r="25" spans="2:19" ht="16" customHeight="1">
      <c r="B25" s="4"/>
      <c r="C25" s="4"/>
    </row>
    <row r="26" spans="2:19" ht="16" customHeight="1">
      <c r="B26" s="4"/>
      <c r="C26" s="4"/>
    </row>
    <row r="27" spans="2:19" ht="16" customHeight="1">
      <c r="B27" s="4"/>
      <c r="C27" s="4"/>
    </row>
    <row r="28" spans="2:19" ht="16" customHeight="1">
      <c r="B28" s="5"/>
      <c r="C28" s="5"/>
    </row>
    <row r="29" spans="2:19" ht="16" customHeight="1"/>
    <row r="30" spans="2:19" ht="16" customHeight="1"/>
    <row r="31" spans="2:19" ht="16" customHeight="1"/>
  </sheetData>
  <mergeCells count="5">
    <mergeCell ref="N2:O2"/>
    <mergeCell ref="E1:F1"/>
    <mergeCell ref="N12:P12"/>
    <mergeCell ref="G1:P1"/>
    <mergeCell ref="S7:AE7"/>
  </mergeCells>
  <phoneticPr fontId="5" type="noConversion"/>
  <conditionalFormatting sqref="F13:P19">
    <cfRule type="expression" dxfId="1" priority="11">
      <formula>F$13=""</formula>
    </cfRule>
  </conditionalFormatting>
  <pageMargins left="0.25" right="0.25" top="0.5" bottom="0.5" header="0.3" footer="0.3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W30"/>
  <sheetViews>
    <sheetView workbookViewId="0">
      <selection activeCell="R22" sqref="R22"/>
    </sheetView>
  </sheetViews>
  <sheetFormatPr baseColWidth="10" defaultRowHeight="16"/>
  <cols>
    <col min="1" max="1" width="1.83203125" customWidth="1"/>
    <col min="2" max="2" width="2.5" bestFit="1" customWidth="1"/>
    <col min="3" max="4" width="7.33203125" customWidth="1"/>
    <col min="5" max="6" width="7.1640625" customWidth="1"/>
    <col min="7" max="7" width="6.83203125" customWidth="1"/>
    <col min="8" max="8" width="7" customWidth="1"/>
    <col min="9" max="9" width="7.83203125" customWidth="1"/>
    <col min="10" max="10" width="8.5" customWidth="1"/>
    <col min="11" max="11" width="7.5" customWidth="1"/>
    <col min="12" max="12" width="6.83203125" customWidth="1"/>
    <col min="13" max="13" width="7.1640625" customWidth="1"/>
    <col min="14" max="14" width="7.5" customWidth="1"/>
    <col min="15" max="15" width="2.5" bestFit="1" customWidth="1"/>
  </cols>
  <sheetData>
    <row r="1" spans="3:23" ht="17" thickBot="1">
      <c r="C1" s="176" t="str">
        <f>'PCR setup'!E1</f>
        <v>PCR Name:</v>
      </c>
      <c r="D1" s="177">
        <f>'PCR setup'!F1</f>
        <v>0</v>
      </c>
      <c r="E1" s="181" t="str">
        <f>IF('PCR setup'!G1="","",'PCR setup'!G1)</f>
        <v>Name here</v>
      </c>
      <c r="F1" s="182">
        <f>'PCR setup'!H1</f>
        <v>0</v>
      </c>
      <c r="G1" s="182">
        <f>'PCR setup'!I1</f>
        <v>0</v>
      </c>
      <c r="H1" s="182">
        <f>'PCR setup'!J1</f>
        <v>0</v>
      </c>
      <c r="I1" s="182">
        <f>'PCR setup'!K1</f>
        <v>0</v>
      </c>
      <c r="J1" s="182">
        <f>'PCR setup'!L1</f>
        <v>0</v>
      </c>
      <c r="K1" s="182">
        <f>'PCR setup'!M1</f>
        <v>0</v>
      </c>
      <c r="L1" s="182">
        <f>'PCR setup'!N1</f>
        <v>0</v>
      </c>
      <c r="M1" s="182">
        <f>'PCR setup'!O1</f>
        <v>0</v>
      </c>
      <c r="N1" s="183">
        <f>'PCR setup'!P1</f>
        <v>0</v>
      </c>
    </row>
    <row r="2" spans="3:23" ht="17" thickBot="1">
      <c r="C2" s="58" t="str">
        <f>IF('PCR setup'!E2="","",'PCR setup'!E2)</f>
        <v/>
      </c>
      <c r="D2" s="59" t="str">
        <f>IF('PCR setup'!F2="","",'PCR setup'!F2)</f>
        <v/>
      </c>
      <c r="E2" s="12" t="str">
        <f>IF('PCR setup'!G2="","",'PCR setup'!G2)</f>
        <v/>
      </c>
      <c r="F2" s="107" t="str">
        <f>IF('PCR setup'!H2="","",'PCR setup'!H2)</f>
        <v>volume:</v>
      </c>
      <c r="G2" s="147">
        <f>IF('PCR setup'!I2="","",'PCR setup'!I2)</f>
        <v>21</v>
      </c>
      <c r="H2" s="12" t="str">
        <f>IF('PCR setup'!J2="","",'PCR setup'!J2)</f>
        <v/>
      </c>
      <c r="I2" s="73" t="str">
        <f>IF('PCR setup'!K2="","",'PCR setup'!K2)</f>
        <v>volume:</v>
      </c>
      <c r="J2" s="153">
        <f>IF('PCR setup'!L2="","",'PCR setup'!L2)</f>
        <v>504</v>
      </c>
      <c r="K2" s="12" t="str">
        <f>IF('PCR setup'!M2="","",'PCR setup'!M2)</f>
        <v/>
      </c>
      <c r="L2" s="174" t="str">
        <f>IF('PCR setup'!N2="","",'PCR setup'!N2)</f>
        <v>thermocycler</v>
      </c>
      <c r="M2" s="175">
        <f>'PCR setup'!O2</f>
        <v>0</v>
      </c>
      <c r="N2" s="60" t="str">
        <f>IF('PCR setup'!P2="","",'PCR setup'!P2)</f>
        <v>Date</v>
      </c>
    </row>
    <row r="3" spans="3:23" s="1" customFormat="1" ht="20" thickBot="1">
      <c r="C3" s="112" t="str">
        <f>IF('PCR setup'!E3="","",'PCR setup'!E3)</f>
        <v>[stock]</v>
      </c>
      <c r="D3" s="113" t="str">
        <f>IF('PCR setup'!F3="","",'PCR setup'!F3)</f>
        <v>[final]</v>
      </c>
      <c r="E3" s="62" t="str">
        <f>IF('PCR setup'!G3="","",'PCR setup'!G3)</f>
        <v/>
      </c>
      <c r="F3" s="95" t="str">
        <f>IF('PCR setup'!H3="","",'PCR setup'!H3)</f>
        <v>Rgnt</v>
      </c>
      <c r="G3" s="108">
        <f>IF('PCR setup'!I3="","",'PCR setup'!I3)</f>
        <v>1</v>
      </c>
      <c r="H3" s="62" t="str">
        <f>IF('PCR setup'!J3="","",'PCR setup'!J3)</f>
        <v/>
      </c>
      <c r="I3" s="74" t="str">
        <f>IF('PCR setup'!K3="","",'PCR setup'!K3)</f>
        <v>Rgnt</v>
      </c>
      <c r="J3" s="31">
        <f>IF('PCR setup'!L3="","",'PCR setup'!L3)</f>
        <v>24</v>
      </c>
      <c r="K3" s="62" t="str">
        <f>IF('PCR setup'!M3="","",'PCR setup'!M3)</f>
        <v/>
      </c>
      <c r="L3" s="86">
        <f>IF('PCR setup'!N3="","",'PCR setup'!N3)</f>
        <v>95</v>
      </c>
      <c r="M3" s="87">
        <f>IF('PCR setup'!O3="","",'PCR setup'!O3)</f>
        <v>6.9444444444444447E-4</v>
      </c>
      <c r="N3" s="139">
        <f ca="1">IF('PCR setup'!P3="","",'PCR setup'!P3)</f>
        <v>43970</v>
      </c>
      <c r="Q3" s="1" t="s">
        <v>22</v>
      </c>
      <c r="R3" s="185" t="str">
        <f ca="1">IF('PCR setup'!T3="","",'PCR setup'!T3)</f>
        <v>2020.05.19 Name here PCR</v>
      </c>
      <c r="S3" s="185"/>
      <c r="T3" s="185"/>
      <c r="U3" s="185"/>
      <c r="V3" s="185"/>
      <c r="W3" s="185"/>
    </row>
    <row r="4" spans="3:23" ht="20" thickBot="1">
      <c r="C4" s="114">
        <f>IF('PCR setup'!E4="","",'PCR setup'!E4)</f>
        <v>1</v>
      </c>
      <c r="D4" s="115">
        <f>IF('PCR setup'!F4="","",'PCR setup'!F4)</f>
        <v>0.62380952380952381</v>
      </c>
      <c r="E4" s="12" t="str">
        <f>IF('PCR setup'!G4="","",'PCR setup'!G4)</f>
        <v/>
      </c>
      <c r="F4" s="109" t="str">
        <f>IF('PCR setup'!H4="","",'PCR setup'!H4)</f>
        <v>H2O</v>
      </c>
      <c r="G4" s="148">
        <f>IF('PCR setup'!I4="","",'PCR setup'!I4)</f>
        <v>13.1</v>
      </c>
      <c r="H4" s="12" t="str">
        <f>IF('PCR setup'!J4="","",'PCR setup'!J4)</f>
        <v/>
      </c>
      <c r="I4" s="85" t="str">
        <f>IF('PCR setup'!K4="","",'PCR setup'!K4)</f>
        <v>H2O</v>
      </c>
      <c r="J4" s="156">
        <f>IF('PCR setup'!L4="","",'PCR setup'!L4)</f>
        <v>314.39999999999998</v>
      </c>
      <c r="K4" s="51" t="str">
        <f>IF('PCR setup'!M4="","",'PCR setup'!M4)</f>
        <v/>
      </c>
      <c r="L4" s="88">
        <f>IF('PCR setup'!N4="","",'PCR setup'!N4)</f>
        <v>95</v>
      </c>
      <c r="M4" s="89">
        <f>IF('PCR setup'!O4="","",'PCR setup'!O4)</f>
        <v>2.3148148148148146E-4</v>
      </c>
      <c r="N4" s="76" t="str">
        <f>IF('PCR setup'!P4="","",'PCR setup'!P4)</f>
        <v>repeat</v>
      </c>
    </row>
    <row r="5" spans="3:23" ht="20" thickBot="1">
      <c r="C5" s="116">
        <f>IF('PCR setup'!E5="","",'PCR setup'!E5)</f>
        <v>10</v>
      </c>
      <c r="D5" s="117">
        <f>IF('PCR setup'!F5="","",'PCR setup'!F5)</f>
        <v>1</v>
      </c>
      <c r="E5" s="12" t="str">
        <f>IF('PCR setup'!G5="","",'PCR setup'!G5)</f>
        <v/>
      </c>
      <c r="F5" s="109" t="str">
        <f>IF('PCR setup'!H5="","",'PCR setup'!H5)</f>
        <v>buffer</v>
      </c>
      <c r="G5" s="148">
        <f>IF('PCR setup'!I5="","",'PCR setup'!I5)</f>
        <v>2.1</v>
      </c>
      <c r="H5" s="12" t="str">
        <f>IF('PCR setup'!J5="","",'PCR setup'!J5)</f>
        <v/>
      </c>
      <c r="I5" s="85" t="str">
        <f>IF('PCR setup'!K5="","",'PCR setup'!K5)</f>
        <v>buffer</v>
      </c>
      <c r="J5" s="157">
        <f>IF('PCR setup'!L5="","",'PCR setup'!L5)</f>
        <v>50.400000000000006</v>
      </c>
      <c r="K5" s="51" t="str">
        <f>IF('PCR setup'!M5="","",'PCR setup'!M5)</f>
        <v/>
      </c>
      <c r="L5" s="90">
        <f>IF('PCR setup'!N5="","",'PCR setup'!N5)</f>
        <v>55</v>
      </c>
      <c r="M5" s="91">
        <f>IF('PCR setup'!O5="","",'PCR setup'!O5)</f>
        <v>2.3148148148148146E-4</v>
      </c>
      <c r="N5" s="77">
        <f>IF('PCR setup'!P5="","",'PCR setup'!P5)</f>
        <v>35</v>
      </c>
    </row>
    <row r="6" spans="3:23" ht="20" thickBot="1">
      <c r="C6" s="118">
        <f>IF('PCR setup'!E6="","",'PCR setup'!E6)</f>
        <v>2.5</v>
      </c>
      <c r="D6" s="119">
        <f>IF('PCR setup'!F6="","",'PCR setup'!F6)</f>
        <v>0.25</v>
      </c>
      <c r="E6" s="12" t="str">
        <f>IF('PCR setup'!G6="","",'PCR setup'!G6)</f>
        <v/>
      </c>
      <c r="F6" s="109" t="str">
        <f>IF('PCR setup'!H6="","",'PCR setup'!H6)</f>
        <v>dNTPs</v>
      </c>
      <c r="G6" s="148">
        <f>IF('PCR setup'!I6="","",'PCR setup'!I6)</f>
        <v>2.1</v>
      </c>
      <c r="H6" s="12" t="str">
        <f>IF('PCR setup'!J6="","",'PCR setup'!J6)</f>
        <v/>
      </c>
      <c r="I6" s="85" t="str">
        <f>IF('PCR setup'!K6="","",'PCR setup'!K6)</f>
        <v>dNTPs</v>
      </c>
      <c r="J6" s="157">
        <f>IF('PCR setup'!L6="","",'PCR setup'!L6)</f>
        <v>50.400000000000006</v>
      </c>
      <c r="K6" s="51" t="str">
        <f>IF('PCR setup'!M6="","",'PCR setup'!M6)</f>
        <v/>
      </c>
      <c r="L6" s="78">
        <f>IF('PCR setup'!N6="","",'PCR setup'!N6)</f>
        <v>68</v>
      </c>
      <c r="M6" s="80">
        <f>IF('PCR setup'!O6="","",'PCR setup'!O6)</f>
        <v>2.3148148148148146E-4</v>
      </c>
      <c r="N6" s="92" t="str">
        <f>IF('PCR setup'!P6="","",'PCR setup'!P6)</f>
        <v>times</v>
      </c>
    </row>
    <row r="7" spans="3:23" ht="19">
      <c r="C7" s="120">
        <f>IF('PCR setup'!E7="","",'PCR setup'!E7)</f>
        <v>10</v>
      </c>
      <c r="D7" s="121">
        <f>IF('PCR setup'!F7="","",'PCR setup'!F7)</f>
        <v>0.52400000000000002</v>
      </c>
      <c r="E7" s="12" t="str">
        <f>IF('PCR setup'!G7="","",'PCR setup'!G7)</f>
        <v/>
      </c>
      <c r="F7" s="109" t="str">
        <f>IF('PCR setup'!H7="","",'PCR setup'!H7)</f>
        <v>Fwd prm</v>
      </c>
      <c r="G7" s="149">
        <f>IF('PCR setup'!I7="","",'PCR setup'!I7)</f>
        <v>1.1000000000000001</v>
      </c>
      <c r="H7" s="12" t="str">
        <f>IF('PCR setup'!J7="","",'PCR setup'!J7)</f>
        <v/>
      </c>
      <c r="I7" s="85" t="str">
        <f>IF('PCR setup'!K7="","",'PCR setup'!K7)</f>
        <v>Fwd prm</v>
      </c>
      <c r="J7" s="157">
        <f>IF('PCR setup'!L7="","",'PCR setup'!L7)</f>
        <v>26.400000000000002</v>
      </c>
      <c r="K7" s="51" t="str">
        <f>IF('PCR setup'!M7="","",'PCR setup'!M7)</f>
        <v/>
      </c>
      <c r="L7" s="79">
        <f>IF('PCR setup'!N7="","",'PCR setup'!N7)</f>
        <v>68</v>
      </c>
      <c r="M7" s="81">
        <f>IF('PCR setup'!O7="","",'PCR setup'!O7)</f>
        <v>1.3888888888888889E-3</v>
      </c>
      <c r="N7" s="63" t="str">
        <f>IF('PCR setup'!P7="","",'PCR setup'!P7)</f>
        <v/>
      </c>
    </row>
    <row r="8" spans="3:23" ht="20" thickBot="1">
      <c r="C8" s="120">
        <f>IF('PCR setup'!E8="","",'PCR setup'!E8)</f>
        <v>10</v>
      </c>
      <c r="D8" s="121">
        <f>IF('PCR setup'!F8="","",'PCR setup'!F8)</f>
        <v>0.52400000000000002</v>
      </c>
      <c r="E8" s="12" t="str">
        <f>IF('PCR setup'!G8="","",'PCR setup'!G8)</f>
        <v/>
      </c>
      <c r="F8" s="109" t="str">
        <f>IF('PCR setup'!H8="","",'PCR setup'!H8)</f>
        <v>Rev prm</v>
      </c>
      <c r="G8" s="149">
        <f>IF('PCR setup'!I8="","",'PCR setup'!I8)</f>
        <v>1.1000000000000001</v>
      </c>
      <c r="H8" s="12" t="str">
        <f>IF('PCR setup'!J8="","",'PCR setup'!J8)</f>
        <v/>
      </c>
      <c r="I8" s="85" t="str">
        <f>IF('PCR setup'!K8="","",'PCR setup'!K8)</f>
        <v>Rev prm</v>
      </c>
      <c r="J8" s="157">
        <f>IF('PCR setup'!L8="","",'PCR setup'!L8)</f>
        <v>26.400000000000002</v>
      </c>
      <c r="K8" s="51" t="str">
        <f>IF('PCR setup'!M8="","",'PCR setup'!M8)</f>
        <v/>
      </c>
      <c r="L8" s="86">
        <f>IF('PCR setup'!N8="","",'PCR setup'!N8)</f>
        <v>4</v>
      </c>
      <c r="M8" s="87">
        <f>IF('PCR setup'!O8="","",'PCR setup'!O8)</f>
        <v>0</v>
      </c>
      <c r="N8" s="63" t="str">
        <f>IF('PCR setup'!P8="","",'PCR setup'!P8)</f>
        <v/>
      </c>
    </row>
    <row r="9" spans="3:23" ht="17" thickBot="1">
      <c r="C9" s="161">
        <f>IF('PCR setup'!E9="","",'PCR setup'!E9)</f>
        <v>10</v>
      </c>
      <c r="D9" s="162">
        <f>IF('PCR setup'!F9="","",'PCR setup'!F9)</f>
        <v>0.47599999999999998</v>
      </c>
      <c r="E9" s="12" t="str">
        <f>IF('PCR setup'!G9="","",'PCR setup'!G9)</f>
        <v/>
      </c>
      <c r="F9" s="110" t="str">
        <f>IF('PCR setup'!H9="","",'PCR setup'!H9)</f>
        <v>DNA</v>
      </c>
      <c r="G9" s="150">
        <f>IF('PCR setup'!I9="","",'PCR setup'!I9)</f>
        <v>1</v>
      </c>
      <c r="H9" s="12" t="str">
        <f>IF('PCR setup'!J9="","",'PCR setup'!J9)</f>
        <v/>
      </c>
      <c r="I9" s="85" t="str">
        <f>IF('PCR setup'!K9="","",'PCR setup'!K9)</f>
        <v>DNA</v>
      </c>
      <c r="J9" s="157">
        <f>IF('PCR setup'!L9="","",'PCR setup'!L9)</f>
        <v>0</v>
      </c>
      <c r="K9" s="51" t="str">
        <f>IF('PCR setup'!M9="","",'PCR setup'!M9)</f>
        <v/>
      </c>
      <c r="L9" s="51" t="str">
        <f>IF('PCR setup'!N9="","",'PCR setup'!N9)</f>
        <v xml:space="preserve">time est </v>
      </c>
      <c r="M9" s="52">
        <f>IF('PCR setup'!O9="","",'PCR setup'!O9)</f>
        <v>4.3217592592592585E-2</v>
      </c>
      <c r="N9" s="64" t="str">
        <f>IF('PCR setup'!P9="","",'PCR setup'!P9)</f>
        <v/>
      </c>
    </row>
    <row r="10" spans="3:23">
      <c r="C10" s="114">
        <f>IF('PCR setup'!E10="","",'PCR setup'!E10)</f>
        <v>1</v>
      </c>
      <c r="D10" s="115">
        <f>IF('PCR setup'!F10="","",'PCR setup'!F10)</f>
        <v>2.3809523809523808E-2</v>
      </c>
      <c r="E10" s="12" t="str">
        <f>IF('PCR setup'!G10="","",'PCR setup'!G10)</f>
        <v/>
      </c>
      <c r="F10" s="109" t="str">
        <f>IF('PCR setup'!H10="","",'PCR setup'!H10)</f>
        <v>Taq</v>
      </c>
      <c r="G10" s="151">
        <f>IF('PCR setup'!I10="","",'PCR setup'!I10)</f>
        <v>0.5</v>
      </c>
      <c r="H10" s="12" t="str">
        <f>IF('PCR setup'!J10="","",'PCR setup'!J10)</f>
        <v/>
      </c>
      <c r="I10" s="85" t="str">
        <f>IF('PCR setup'!K10="","",'PCR setup'!K10)</f>
        <v>Taq</v>
      </c>
      <c r="J10" s="157">
        <f>IF('PCR setup'!L10="","",'PCR setup'!L10)</f>
        <v>12</v>
      </c>
      <c r="K10" s="51" t="str">
        <f>IF('PCR setup'!M10="","",'PCR setup'!M10)</f>
        <v/>
      </c>
      <c r="L10" s="12" t="str">
        <f>IF('PCR setup'!N10="","",'PCR setup'!N10)</f>
        <v/>
      </c>
      <c r="M10" s="12" t="str">
        <f>IF('PCR setup'!O10="","",'PCR setup'!O10)</f>
        <v/>
      </c>
      <c r="N10" s="64" t="str">
        <f>IF('PCR setup'!P10="","",'PCR setup'!P10)</f>
        <v/>
      </c>
    </row>
    <row r="11" spans="3:23" ht="20" thickBot="1">
      <c r="C11" s="124" t="str">
        <f>IF('PCR setup'!E11="","",'PCR setup'!E11)</f>
        <v/>
      </c>
      <c r="D11" s="125" t="str">
        <f>IF('PCR setup'!F11="","",'PCR setup'!F11)</f>
        <v/>
      </c>
      <c r="E11" s="12" t="str">
        <f>IF('PCR setup'!G11="","",'PCR setup'!G11)</f>
        <v/>
      </c>
      <c r="F11" s="122" t="str">
        <f>IF('PCR setup'!H11="","",'PCR setup'!H11)</f>
        <v/>
      </c>
      <c r="G11" s="149" t="str">
        <f>IF('PCR setup'!I11="","",'PCR setup'!I11)</f>
        <v/>
      </c>
      <c r="H11" s="12" t="str">
        <f>IF('PCR setup'!J11="","",'PCR setup'!J11)</f>
        <v/>
      </c>
      <c r="I11" s="82" t="str">
        <f>IF('PCR setup'!K11="","",'PCR setup'!K11)</f>
        <v/>
      </c>
      <c r="J11" s="158" t="str">
        <f>IF('PCR setup'!L11="","",'PCR setup'!L11)</f>
        <v/>
      </c>
      <c r="K11" s="12" t="str">
        <f>IF('PCR setup'!M11="","",'PCR setup'!M11)</f>
        <v/>
      </c>
      <c r="L11" s="12" t="str">
        <f>IF('PCR setup'!N11="","",'PCR setup'!N11)</f>
        <v/>
      </c>
      <c r="M11" s="12" t="str">
        <f>IF('PCR setup'!O11="","",'PCR setup'!O11)</f>
        <v/>
      </c>
      <c r="N11" s="54" t="str">
        <f>IF('PCR setup'!P11="","",'PCR setup'!P11)</f>
        <v/>
      </c>
    </row>
    <row r="12" spans="3:23" ht="22" thickBot="1">
      <c r="C12" s="105" t="str">
        <f>IF('PCR setup'!E12="","",'PCR setup'!E12)</f>
        <v/>
      </c>
      <c r="D12" s="106" t="str">
        <f>IF('PCR setup'!F12="","",'PCR setup'!F12)</f>
        <v/>
      </c>
      <c r="E12" s="65" t="str">
        <f>IF('PCR setup'!G12="","",'PCR setup'!G12)</f>
        <v/>
      </c>
      <c r="F12" s="126" t="str">
        <f>IF('PCR setup'!H12="","",'PCR setup'!H12)</f>
        <v>SUM</v>
      </c>
      <c r="G12" s="152">
        <f>IF('PCR setup'!I12="","",'PCR setup'!I12)</f>
        <v>21.000000000000004</v>
      </c>
      <c r="H12" s="83" t="str">
        <f>IF('PCR setup'!J12="","",'PCR setup'!J12)</f>
        <v/>
      </c>
      <c r="I12" s="84" t="str">
        <f>IF('PCR setup'!K12="","",'PCR setup'!K12)</f>
        <v>SUM</v>
      </c>
      <c r="J12" s="155">
        <f>IF('PCR setup'!L12="","",'PCR setup'!L12)</f>
        <v>479.99999999999989</v>
      </c>
      <c r="K12" s="83" t="str">
        <f>IF('PCR setup'!M12="","",'PCR setup'!M12)</f>
        <v/>
      </c>
      <c r="L12" s="178" t="str">
        <f ca="1">IF('PCR setup'!N12="","",'PCR setup'!N12)</f>
        <v>TOT: 24rxns</v>
      </c>
      <c r="M12" s="179">
        <f>'PCR setup'!O12</f>
        <v>0</v>
      </c>
      <c r="N12" s="180">
        <f>'PCR setup'!P12</f>
        <v>0</v>
      </c>
    </row>
    <row r="13" spans="3:23" ht="17" thickBot="1">
      <c r="C13" s="33">
        <f>IF('PCR setup'!E13="","",'PCR setup'!E13)</f>
        <v>1</v>
      </c>
      <c r="D13" s="57">
        <f ca="1">IF('PCR setup'!F13="","",'PCR setup'!F13)</f>
        <v>24</v>
      </c>
      <c r="E13" s="49" t="str">
        <f>IF('PCR setup'!G13="","",'PCR setup'!G13)</f>
        <v/>
      </c>
      <c r="F13" s="49" t="str">
        <f>IF('PCR setup'!H13="","",'PCR setup'!H13)</f>
        <v/>
      </c>
      <c r="G13" s="49" t="str">
        <f>IF('PCR setup'!I13="","",'PCR setup'!I13)</f>
        <v/>
      </c>
      <c r="H13" s="49" t="str">
        <f>IF('PCR setup'!J13="","",'PCR setup'!J13)</f>
        <v/>
      </c>
      <c r="I13" s="49" t="str">
        <f>IF('PCR setup'!K13="","",'PCR setup'!K13)</f>
        <v/>
      </c>
      <c r="J13" s="49" t="str">
        <f>IF('PCR setup'!L13="","",'PCR setup'!L13)</f>
        <v/>
      </c>
      <c r="K13" s="49" t="str">
        <f>IF('PCR setup'!M13="","",'PCR setup'!M13)</f>
        <v/>
      </c>
      <c r="L13" s="49" t="str">
        <f>IF('PCR setup'!N13="","",'PCR setup'!N13)</f>
        <v/>
      </c>
      <c r="M13" s="49" t="str">
        <f>IF('PCR setup'!O13="","",'PCR setup'!O13)</f>
        <v/>
      </c>
      <c r="N13" s="72" t="str">
        <f>IF('PCR setup'!P13="","",'PCR setup'!P13)</f>
        <v/>
      </c>
    </row>
    <row r="14" spans="3:23" ht="17" thickBot="1">
      <c r="C14" s="44" t="str">
        <f>IF('PCR setup'!E14="","",'PCR setup'!E14)</f>
        <v>Name</v>
      </c>
      <c r="D14" s="53" t="str">
        <f>IF('PCR setup'!F14="","",'PCR setup'!F14)</f>
        <v>PCR1</v>
      </c>
      <c r="E14" s="49" t="str">
        <f>IF('PCR setup'!G14="","",'PCR setup'!G14)</f>
        <v/>
      </c>
      <c r="F14" s="49" t="str">
        <f>IF('PCR setup'!H14="","",'PCR setup'!H14)</f>
        <v/>
      </c>
      <c r="G14" s="50" t="str">
        <f>IF('PCR setup'!I14="","",'PCR setup'!I14)</f>
        <v/>
      </c>
      <c r="H14" s="50" t="str">
        <f>IF('PCR setup'!J14="","",'PCR setup'!J14)</f>
        <v/>
      </c>
      <c r="I14" s="50" t="str">
        <f>IF('PCR setup'!K14="","",'PCR setup'!K14)</f>
        <v/>
      </c>
      <c r="J14" s="50" t="str">
        <f>IF('PCR setup'!L14="","",'PCR setup'!L14)</f>
        <v/>
      </c>
      <c r="K14" s="50" t="str">
        <f>IF('PCR setup'!M14="","",'PCR setup'!M14)</f>
        <v/>
      </c>
      <c r="L14" s="50" t="str">
        <f>IF('PCR setup'!N14="","",'PCR setup'!N14)</f>
        <v/>
      </c>
      <c r="M14" s="50" t="str">
        <f>IF('PCR setup'!O14="","",'PCR setup'!O14)</f>
        <v/>
      </c>
      <c r="N14" s="66" t="str">
        <f>IF('PCR setup'!P14="","",'PCR setup'!P14)</f>
        <v/>
      </c>
    </row>
    <row r="15" spans="3:23" ht="17" thickBot="1">
      <c r="C15" s="45" t="str">
        <f>IF('PCR setup'!E15="","",'PCR setup'!E15)</f>
        <v>Primers</v>
      </c>
      <c r="D15" s="55" t="str">
        <f>IF('PCR setup'!F15="","",'PCR setup'!F15)</f>
        <v>prm names</v>
      </c>
      <c r="E15" s="47" t="str">
        <f>IF('PCR setup'!G15="","",'PCR setup'!G15)</f>
        <v/>
      </c>
      <c r="F15" s="47" t="str">
        <f>IF('PCR setup'!H15="","",'PCR setup'!H15)</f>
        <v/>
      </c>
      <c r="G15" s="47" t="str">
        <f>IF('PCR setup'!I15="","",'PCR setup'!I15)</f>
        <v/>
      </c>
      <c r="H15" s="47" t="str">
        <f>IF('PCR setup'!J15="","",'PCR setup'!J15)</f>
        <v/>
      </c>
      <c r="I15" s="47" t="str">
        <f>IF('PCR setup'!K15="","",'PCR setup'!K15)</f>
        <v/>
      </c>
      <c r="J15" s="47" t="str">
        <f>IF('PCR setup'!L15="","",'PCR setup'!L15)</f>
        <v/>
      </c>
      <c r="K15" s="47" t="str">
        <f>IF('PCR setup'!M15="","",'PCR setup'!M15)</f>
        <v/>
      </c>
      <c r="L15" s="47" t="str">
        <f>IF('PCR setup'!N15="","",'PCR setup'!N15)</f>
        <v/>
      </c>
      <c r="M15" s="47" t="str">
        <f>IF('PCR setup'!O15="","",'PCR setup'!O15)</f>
        <v/>
      </c>
      <c r="N15" s="67" t="str">
        <f>IF('PCR setup'!P15="","",'PCR setup'!P15)</f>
        <v/>
      </c>
    </row>
    <row r="16" spans="3:23" ht="17" thickBot="1">
      <c r="C16" s="32" t="str">
        <f>IF('PCR setup'!E16="","",'PCR setup'!E16)</f>
        <v>Exp. Bands</v>
      </c>
      <c r="D16" s="56" t="str">
        <f>IF('PCR setup'!F16="","",'PCR setup'!F16)</f>
        <v>band size</v>
      </c>
      <c r="E16" s="48" t="str">
        <f>IF('PCR setup'!G16="","",'PCR setup'!G16)</f>
        <v/>
      </c>
      <c r="F16" s="48" t="str">
        <f>IF('PCR setup'!H16="","",'PCR setup'!H16)</f>
        <v/>
      </c>
      <c r="G16" s="48" t="str">
        <f>IF('PCR setup'!I16="","",'PCR setup'!I16)</f>
        <v/>
      </c>
      <c r="H16" s="48" t="str">
        <f>IF('PCR setup'!J16="","",'PCR setup'!J16)</f>
        <v/>
      </c>
      <c r="I16" s="48" t="str">
        <f>IF('PCR setup'!K16="","",'PCR setup'!K16)</f>
        <v/>
      </c>
      <c r="J16" s="48" t="str">
        <f>IF('PCR setup'!L16="","",'PCR setup'!L16)</f>
        <v/>
      </c>
      <c r="K16" s="48" t="str">
        <f>IF('PCR setup'!M16="","",'PCR setup'!M16)</f>
        <v/>
      </c>
      <c r="L16" s="48" t="str">
        <f>IF('PCR setup'!N16="","",'PCR setup'!N16)</f>
        <v/>
      </c>
      <c r="M16" s="48" t="str">
        <f>IF('PCR setup'!O16="","",'PCR setup'!O16)</f>
        <v/>
      </c>
      <c r="N16" s="68" t="str">
        <f>IF('PCR setup'!P16="","",'PCR setup'!P16)</f>
        <v/>
      </c>
    </row>
    <row r="17" spans="2:16" ht="17" thickBot="1">
      <c r="C17" s="46" t="str">
        <f>IF('PCR setup'!E17="","",'PCR setup'!E17)</f>
        <v>Tm</v>
      </c>
      <c r="D17" s="69">
        <f>IF('PCR setup'!F17="","",'PCR setup'!F17)</f>
        <v>55</v>
      </c>
      <c r="E17" s="70" t="str">
        <f>IF('PCR setup'!G17="","",'PCR setup'!G17)</f>
        <v/>
      </c>
      <c r="F17" s="70" t="str">
        <f>IF('PCR setup'!H17="","",'PCR setup'!H17)</f>
        <v/>
      </c>
      <c r="G17" s="70" t="str">
        <f>IF('PCR setup'!I17="","",'PCR setup'!I17)</f>
        <v/>
      </c>
      <c r="H17" s="70" t="str">
        <f>IF('PCR setup'!J17="","",'PCR setup'!J17)</f>
        <v/>
      </c>
      <c r="I17" s="70" t="str">
        <f>IF('PCR setup'!K17="","",'PCR setup'!K17)</f>
        <v/>
      </c>
      <c r="J17" s="70" t="str">
        <f>IF('PCR setup'!L17="","",'PCR setup'!L17)</f>
        <v/>
      </c>
      <c r="K17" s="70" t="str">
        <f>IF('PCR setup'!M17="","",'PCR setup'!M17)</f>
        <v/>
      </c>
      <c r="L17" s="70" t="str">
        <f>IF('PCR setup'!N17="","",'PCR setup'!N17)</f>
        <v/>
      </c>
      <c r="M17" s="70" t="str">
        <f>IF('PCR setup'!O17="","",'PCR setup'!O17)</f>
        <v/>
      </c>
      <c r="N17" s="71" t="str">
        <f>IF('PCR setup'!P17="","",'PCR setup'!P17)</f>
        <v/>
      </c>
    </row>
    <row r="18" spans="2:16" ht="17" thickBot="1">
      <c r="C18" s="140" t="str">
        <f>IF('PCR setup'!E18="","",'PCR setup'!E18)</f>
        <v>Master Mix</v>
      </c>
      <c r="D18" s="141">
        <f ca="1">IF('PCR setup'!F18="","",'PCR setup'!F18)</f>
        <v>480</v>
      </c>
      <c r="E18" s="142" t="str">
        <f>IF('PCR setup'!G18="","",'PCR setup'!G18)</f>
        <v/>
      </c>
      <c r="F18" s="142" t="str">
        <f>IF('PCR setup'!H18="","",'PCR setup'!H18)</f>
        <v/>
      </c>
      <c r="G18" s="142" t="str">
        <f>IF('PCR setup'!I18="","",'PCR setup'!I18)</f>
        <v/>
      </c>
      <c r="H18" s="142" t="str">
        <f>IF('PCR setup'!J18="","",'PCR setup'!J18)</f>
        <v/>
      </c>
      <c r="I18" s="159" t="str">
        <f>IF('PCR setup'!K18="","",'PCR setup'!K18)</f>
        <v/>
      </c>
      <c r="J18" s="159" t="str">
        <f>IF('PCR setup'!L18="","",'PCR setup'!L18)</f>
        <v/>
      </c>
      <c r="K18" s="159" t="str">
        <f>IF('PCR setup'!M18="","",'PCR setup'!M18)</f>
        <v/>
      </c>
      <c r="L18" s="159" t="str">
        <f>IF('PCR setup'!N18="","",'PCR setup'!N18)</f>
        <v/>
      </c>
      <c r="M18" s="159" t="str">
        <f>IF('PCR setup'!O18="","",'PCR setup'!O18)</f>
        <v/>
      </c>
      <c r="N18" s="159" t="str">
        <f>IF('PCR setup'!P18="","",'PCR setup'!P18)</f>
        <v/>
      </c>
    </row>
    <row r="19" spans="2:16" ht="17" thickBot="1">
      <c r="C19" s="30" t="str">
        <f>IF('PCR setup'!E19="","",'PCR setup'!E19)</f>
        <v>prim. Each</v>
      </c>
      <c r="D19" s="143">
        <f ca="1">IF('PCR setup'!F19="","",'PCR setup'!F19)</f>
        <v>26.4</v>
      </c>
      <c r="E19" s="144" t="str">
        <f>IF('PCR setup'!G19="","",'PCR setup'!G19)</f>
        <v/>
      </c>
      <c r="F19" s="144" t="str">
        <f>IF('PCR setup'!H19="","",'PCR setup'!H19)</f>
        <v/>
      </c>
      <c r="G19" s="144" t="str">
        <f>IF('PCR setup'!I19="","",'PCR setup'!I19)</f>
        <v/>
      </c>
      <c r="H19" s="144" t="str">
        <f>IF('PCR setup'!J19="","",'PCR setup'!J19)</f>
        <v/>
      </c>
      <c r="I19" s="160" t="str">
        <f>IF('PCR setup'!K19="","",'PCR setup'!K19)</f>
        <v/>
      </c>
      <c r="J19" s="160" t="str">
        <f>IF('PCR setup'!L19="","",'PCR setup'!L19)</f>
        <v/>
      </c>
      <c r="K19" s="160" t="str">
        <f>IF('PCR setup'!M19="","",'PCR setup'!M19)</f>
        <v/>
      </c>
      <c r="L19" s="160" t="str">
        <f>IF('PCR setup'!N19="","",'PCR setup'!N19)</f>
        <v/>
      </c>
      <c r="M19" s="160" t="str">
        <f>IF('PCR setup'!O19="","",'PCR setup'!O19)</f>
        <v/>
      </c>
      <c r="N19" s="160" t="str">
        <f>IF('PCR setup'!P19="","",'PCR setup'!P19)</f>
        <v/>
      </c>
    </row>
    <row r="20" spans="2:16" ht="17" thickBot="1">
      <c r="D20" s="29" t="str">
        <f ca="1">IF('PCR setup'!F20="","",'PCR setup'!F20)</f>
        <v/>
      </c>
      <c r="E20" s="29" t="str">
        <f>IF('PCR setup'!G20="","",'PCR setup'!G20)</f>
        <v/>
      </c>
      <c r="F20" s="29" t="str">
        <f>IF('PCR setup'!H20="","",'PCR setup'!H20)</f>
        <v/>
      </c>
      <c r="G20" s="29" t="str">
        <f>IF('PCR setup'!I20="","",'PCR setup'!I20)</f>
        <v/>
      </c>
      <c r="H20" s="29" t="str">
        <f>IF('PCR setup'!J20="","",'PCR setup'!J20)</f>
        <v/>
      </c>
      <c r="I20" s="29" t="str">
        <f>IF('PCR setup'!K20="","",'PCR setup'!K20)</f>
        <v/>
      </c>
      <c r="J20" s="29" t="str">
        <f>IF('PCR setup'!L20="","",'PCR setup'!L20)</f>
        <v/>
      </c>
      <c r="K20" s="29" t="str">
        <f>IF('PCR setup'!M20="","",'PCR setup'!M20)</f>
        <v/>
      </c>
      <c r="L20" s="29" t="str">
        <f>IF('PCR setup'!N20="","",'PCR setup'!N20)</f>
        <v/>
      </c>
      <c r="M20" s="29" t="str">
        <f>IF('PCR setup'!O20="","",'PCR setup'!O20)</f>
        <v/>
      </c>
      <c r="N20" s="29" t="str">
        <f>IF('PCR setup'!P20="","",'PCR setup'!P20)</f>
        <v/>
      </c>
    </row>
    <row r="21" spans="2:16" ht="17" thickBot="1">
      <c r="C21" s="23">
        <v>1</v>
      </c>
      <c r="D21" s="24">
        <v>2</v>
      </c>
      <c r="E21" s="24">
        <v>3</v>
      </c>
      <c r="F21" s="24">
        <v>4</v>
      </c>
      <c r="G21" s="24">
        <v>5</v>
      </c>
      <c r="H21" s="24">
        <v>6</v>
      </c>
      <c r="I21" s="24">
        <v>7</v>
      </c>
      <c r="J21" s="24">
        <v>8</v>
      </c>
      <c r="K21" s="24">
        <v>9</v>
      </c>
      <c r="L21" s="24">
        <v>10</v>
      </c>
      <c r="M21" s="24">
        <v>11</v>
      </c>
      <c r="N21" s="25">
        <v>12</v>
      </c>
    </row>
    <row r="22" spans="2:16" ht="39" customHeight="1">
      <c r="B22" s="40" t="s">
        <v>7</v>
      </c>
      <c r="C22" s="22" t="str">
        <f>IF('PCR plate'!B3="","",'PCR plate'!B3)</f>
        <v/>
      </c>
      <c r="D22" s="22" t="str">
        <f>IF('PCR plate'!C3="","",'PCR plate'!C3)</f>
        <v/>
      </c>
      <c r="E22" s="22" t="str">
        <f>IF('PCR plate'!D3="","",'PCR plate'!D3)</f>
        <v/>
      </c>
      <c r="F22" s="22" t="str">
        <f>IF('PCR plate'!E3="","",'PCR plate'!E3)</f>
        <v/>
      </c>
      <c r="G22" s="22" t="str">
        <f>IF('PCR plate'!F3="","",'PCR plate'!F3)</f>
        <v/>
      </c>
      <c r="H22" s="22" t="str">
        <f>IF('PCR plate'!G3="","",'PCR plate'!G3)</f>
        <v/>
      </c>
      <c r="I22" s="22" t="str">
        <f>IF('PCR plate'!H3="","",'PCR plate'!H3)</f>
        <v/>
      </c>
      <c r="J22" s="22" t="str">
        <f>IF('PCR plate'!I3="","",'PCR plate'!I3)</f>
        <v/>
      </c>
      <c r="K22" s="22" t="str">
        <f>IF('PCR plate'!J3="","",'PCR plate'!J3)</f>
        <v/>
      </c>
      <c r="L22" s="22" t="str">
        <f>IF('PCR plate'!K3="","",'PCR plate'!K3)</f>
        <v/>
      </c>
      <c r="M22" s="22" t="str">
        <f>IF('PCR plate'!L3="","",'PCR plate'!L3)</f>
        <v/>
      </c>
      <c r="N22" s="22" t="str">
        <f>IF('PCR plate'!M3="","",'PCR plate'!M3)</f>
        <v/>
      </c>
      <c r="O22" s="37" t="s">
        <v>7</v>
      </c>
      <c r="P22" s="4"/>
    </row>
    <row r="23" spans="2:16" ht="39" customHeight="1">
      <c r="B23" s="41" t="s">
        <v>8</v>
      </c>
      <c r="C23" s="22" t="str">
        <f>IF('PCR plate'!B4="","",'PCR plate'!B4)</f>
        <v/>
      </c>
      <c r="D23" s="22" t="str">
        <f>IF('PCR plate'!C4="","",'PCR plate'!C4)</f>
        <v/>
      </c>
      <c r="E23" s="22" t="str">
        <f>IF('PCR plate'!D4="","",'PCR plate'!D4)</f>
        <v/>
      </c>
      <c r="F23" s="22" t="str">
        <f>IF('PCR plate'!E4="","",'PCR plate'!E4)</f>
        <v/>
      </c>
      <c r="G23" s="22" t="str">
        <f>IF('PCR plate'!F4="","",'PCR plate'!F4)</f>
        <v/>
      </c>
      <c r="H23" s="22" t="str">
        <f>IF('PCR plate'!G4="","",'PCR plate'!G4)</f>
        <v/>
      </c>
      <c r="I23" s="22" t="str">
        <f>IF('PCR plate'!H4="","",'PCR plate'!H4)</f>
        <v/>
      </c>
      <c r="J23" s="22" t="str">
        <f>IF('PCR plate'!I4="","",'PCR plate'!I4)</f>
        <v/>
      </c>
      <c r="K23" s="22" t="str">
        <f>IF('PCR plate'!J4="","",'PCR plate'!J4)</f>
        <v/>
      </c>
      <c r="L23" s="22" t="str">
        <f>IF('PCR plate'!K4="","",'PCR plate'!K4)</f>
        <v/>
      </c>
      <c r="M23" s="22" t="str">
        <f>IF('PCR plate'!L4="","",'PCR plate'!L4)</f>
        <v/>
      </c>
      <c r="N23" s="22" t="str">
        <f>IF('PCR plate'!M4="","",'PCR plate'!M4)</f>
        <v/>
      </c>
      <c r="O23" s="38" t="s">
        <v>8</v>
      </c>
      <c r="P23" s="4"/>
    </row>
    <row r="24" spans="2:16" ht="39" customHeight="1">
      <c r="B24" s="41" t="s">
        <v>9</v>
      </c>
      <c r="C24" s="22" t="str">
        <f>IF('PCR plate'!B5="","",'PCR plate'!B5)</f>
        <v/>
      </c>
      <c r="D24" s="22" t="str">
        <f>IF('PCR plate'!C5="","",'PCR plate'!C5)</f>
        <v/>
      </c>
      <c r="E24" s="22" t="str">
        <f>IF('PCR plate'!D5="","",'PCR plate'!D5)</f>
        <v/>
      </c>
      <c r="F24" s="22" t="str">
        <f>IF('PCR plate'!E5="","",'PCR plate'!E5)</f>
        <v/>
      </c>
      <c r="G24" s="22" t="str">
        <f>IF('PCR plate'!F5="","",'PCR plate'!F5)</f>
        <v/>
      </c>
      <c r="H24" s="22" t="str">
        <f>IF('PCR plate'!G5="","",'PCR plate'!G5)</f>
        <v/>
      </c>
      <c r="I24" s="22" t="str">
        <f>IF('PCR plate'!H5="","",'PCR plate'!H5)</f>
        <v/>
      </c>
      <c r="J24" s="22" t="str">
        <f>IF('PCR plate'!I5="","",'PCR plate'!I5)</f>
        <v/>
      </c>
      <c r="K24" s="22" t="str">
        <f>IF('PCR plate'!J5="","",'PCR plate'!J5)</f>
        <v/>
      </c>
      <c r="L24" s="22" t="str">
        <f>IF('PCR plate'!K5="","",'PCR plate'!K5)</f>
        <v/>
      </c>
      <c r="M24" s="22" t="str">
        <f>IF('PCR plate'!L5="","",'PCR plate'!L5)</f>
        <v/>
      </c>
      <c r="N24" s="22" t="str">
        <f>IF('PCR plate'!M5="","",'PCR plate'!M5)</f>
        <v/>
      </c>
      <c r="O24" s="38" t="s">
        <v>9</v>
      </c>
      <c r="P24" s="4"/>
    </row>
    <row r="25" spans="2:16" ht="39" customHeight="1">
      <c r="B25" s="41" t="s">
        <v>10</v>
      </c>
      <c r="C25" s="22" t="str">
        <f>IF('PCR plate'!B6="","",'PCR plate'!B6)</f>
        <v/>
      </c>
      <c r="D25" s="22" t="str">
        <f>IF('PCR plate'!C6="","",'PCR plate'!C6)</f>
        <v/>
      </c>
      <c r="E25" s="22" t="str">
        <f>IF('PCR plate'!D6="","",'PCR plate'!D6)</f>
        <v/>
      </c>
      <c r="F25" s="22" t="str">
        <f>IF('PCR plate'!E6="","",'PCR plate'!E6)</f>
        <v/>
      </c>
      <c r="G25" s="22" t="str">
        <f>IF('PCR plate'!F6="","",'PCR plate'!F6)</f>
        <v/>
      </c>
      <c r="H25" s="22" t="str">
        <f>IF('PCR plate'!G6="","",'PCR plate'!G6)</f>
        <v/>
      </c>
      <c r="I25" s="22" t="str">
        <f>IF('PCR plate'!H6="","",'PCR plate'!H6)</f>
        <v/>
      </c>
      <c r="J25" s="22" t="str">
        <f>IF('PCR plate'!I6="","",'PCR plate'!I6)</f>
        <v/>
      </c>
      <c r="K25" s="22" t="str">
        <f>IF('PCR plate'!J6="","",'PCR plate'!J6)</f>
        <v/>
      </c>
      <c r="L25" s="22" t="str">
        <f>IF('PCR plate'!K6="","",'PCR plate'!K6)</f>
        <v/>
      </c>
      <c r="M25" s="22" t="str">
        <f>IF('PCR plate'!L6="","",'PCR plate'!L6)</f>
        <v/>
      </c>
      <c r="N25" s="22" t="str">
        <f>IF('PCR plate'!M6="","",'PCR plate'!M6)</f>
        <v/>
      </c>
      <c r="O25" s="38" t="s">
        <v>10</v>
      </c>
      <c r="P25" s="4"/>
    </row>
    <row r="26" spans="2:16" ht="39" customHeight="1">
      <c r="B26" s="41" t="s">
        <v>11</v>
      </c>
      <c r="C26" s="22" t="str">
        <f>IF('PCR plate'!B7="","",'PCR plate'!B7)</f>
        <v/>
      </c>
      <c r="D26" s="22" t="str">
        <f>IF('PCR plate'!C7="","",'PCR plate'!C7)</f>
        <v/>
      </c>
      <c r="E26" s="22" t="str">
        <f>IF('PCR plate'!D7="","",'PCR plate'!D7)</f>
        <v/>
      </c>
      <c r="F26" s="22" t="str">
        <f>IF('PCR plate'!E7="","",'PCR plate'!E7)</f>
        <v/>
      </c>
      <c r="G26" s="22" t="str">
        <f>IF('PCR plate'!F7="","",'PCR plate'!F7)</f>
        <v/>
      </c>
      <c r="H26" s="22" t="str">
        <f>IF('PCR plate'!G7="","",'PCR plate'!G7)</f>
        <v/>
      </c>
      <c r="I26" s="22" t="str">
        <f>IF('PCR plate'!H7="","",'PCR plate'!H7)</f>
        <v/>
      </c>
      <c r="J26" s="22" t="str">
        <f>IF('PCR plate'!I7="","",'PCR plate'!I7)</f>
        <v/>
      </c>
      <c r="K26" s="22" t="str">
        <f>IF('PCR plate'!J7="","",'PCR plate'!J7)</f>
        <v/>
      </c>
      <c r="L26" s="22" t="str">
        <f>IF('PCR plate'!K7="","",'PCR plate'!K7)</f>
        <v/>
      </c>
      <c r="M26" s="22" t="str">
        <f>IF('PCR plate'!L7="","",'PCR plate'!L7)</f>
        <v/>
      </c>
      <c r="N26" s="22" t="str">
        <f>IF('PCR plate'!M7="","",'PCR plate'!M7)</f>
        <v/>
      </c>
      <c r="O26" s="38" t="s">
        <v>11</v>
      </c>
      <c r="P26" s="4"/>
    </row>
    <row r="27" spans="2:16" ht="39" customHeight="1">
      <c r="B27" s="41" t="s">
        <v>12</v>
      </c>
      <c r="C27" s="22" t="str">
        <f>IF('PCR plate'!B8="","",'PCR plate'!B8)</f>
        <v/>
      </c>
      <c r="D27" s="22" t="str">
        <f>IF('PCR plate'!C8="","",'PCR plate'!C8)</f>
        <v/>
      </c>
      <c r="E27" s="22" t="str">
        <f>IF('PCR plate'!D8="","",'PCR plate'!D8)</f>
        <v/>
      </c>
      <c r="F27" s="22" t="str">
        <f>IF('PCR plate'!E8="","",'PCR plate'!E8)</f>
        <v/>
      </c>
      <c r="G27" s="22" t="str">
        <f>IF('PCR plate'!F8="","",'PCR plate'!F8)</f>
        <v/>
      </c>
      <c r="H27" s="22" t="str">
        <f>IF('PCR plate'!G8="","",'PCR plate'!G8)</f>
        <v/>
      </c>
      <c r="I27" s="22" t="str">
        <f>IF('PCR plate'!H8="","",'PCR plate'!H8)</f>
        <v/>
      </c>
      <c r="J27" s="22" t="str">
        <f>IF('PCR plate'!I8="","",'PCR plate'!I8)</f>
        <v/>
      </c>
      <c r="K27" s="22" t="str">
        <f>IF('PCR plate'!J8="","",'PCR plate'!J8)</f>
        <v/>
      </c>
      <c r="L27" s="22" t="str">
        <f>IF('PCR plate'!K8="","",'PCR plate'!K8)</f>
        <v/>
      </c>
      <c r="M27" s="22" t="str">
        <f>IF('PCR plate'!L8="","",'PCR plate'!L8)</f>
        <v/>
      </c>
      <c r="N27" s="22" t="str">
        <f>IF('PCR plate'!M8="","",'PCR plate'!M8)</f>
        <v/>
      </c>
      <c r="O27" s="38" t="s">
        <v>12</v>
      </c>
      <c r="P27" s="4"/>
    </row>
    <row r="28" spans="2:16" ht="39" customHeight="1">
      <c r="B28" s="41" t="s">
        <v>13</v>
      </c>
      <c r="C28" s="22" t="str">
        <f>IF('PCR plate'!B9="","",'PCR plate'!B9)</f>
        <v/>
      </c>
      <c r="D28" s="22" t="str">
        <f>IF('PCR plate'!C9="","",'PCR plate'!C9)</f>
        <v/>
      </c>
      <c r="E28" s="22" t="str">
        <f>IF('PCR plate'!D9="","",'PCR plate'!D9)</f>
        <v/>
      </c>
      <c r="F28" s="22" t="str">
        <f>IF('PCR plate'!E9="","",'PCR plate'!E9)</f>
        <v/>
      </c>
      <c r="G28" s="22" t="str">
        <f>IF('PCR plate'!F9="","",'PCR plate'!F9)</f>
        <v/>
      </c>
      <c r="H28" s="22" t="str">
        <f>IF('PCR plate'!G9="","",'PCR plate'!G9)</f>
        <v/>
      </c>
      <c r="I28" s="22" t="str">
        <f>IF('PCR plate'!H9="","",'PCR plate'!H9)</f>
        <v/>
      </c>
      <c r="J28" s="22" t="str">
        <f>IF('PCR plate'!I9="","",'PCR plate'!I9)</f>
        <v/>
      </c>
      <c r="K28" s="22" t="str">
        <f>IF('PCR plate'!J9="","",'PCR plate'!J9)</f>
        <v/>
      </c>
      <c r="L28" s="22" t="str">
        <f>IF('PCR plate'!K9="","",'PCR plate'!K9)</f>
        <v/>
      </c>
      <c r="M28" s="22" t="str">
        <f>IF('PCR plate'!L9="","",'PCR plate'!L9)</f>
        <v/>
      </c>
      <c r="N28" s="22" t="str">
        <f>IF('PCR plate'!M9="","",'PCR plate'!M9)</f>
        <v/>
      </c>
      <c r="O28" s="38" t="s">
        <v>13</v>
      </c>
      <c r="P28" s="4"/>
    </row>
    <row r="29" spans="2:16" ht="39" customHeight="1" thickBot="1">
      <c r="B29" s="42" t="s">
        <v>14</v>
      </c>
      <c r="C29" s="22" t="str">
        <f>IF('PCR plate'!B10="","",'PCR plate'!B10)</f>
        <v/>
      </c>
      <c r="D29" s="22" t="str">
        <f>IF('PCR plate'!C10="","",'PCR plate'!C10)</f>
        <v/>
      </c>
      <c r="E29" s="22" t="str">
        <f>IF('PCR plate'!D10="","",'PCR plate'!D10)</f>
        <v/>
      </c>
      <c r="F29" s="22" t="str">
        <f>IF('PCR plate'!E10="","",'PCR plate'!E10)</f>
        <v/>
      </c>
      <c r="G29" s="22" t="str">
        <f>IF('PCR plate'!F10="","",'PCR plate'!F10)</f>
        <v/>
      </c>
      <c r="H29" s="22" t="str">
        <f>IF('PCR plate'!G10="","",'PCR plate'!G10)</f>
        <v/>
      </c>
      <c r="I29" s="22" t="str">
        <f>IF('PCR plate'!H10="","",'PCR plate'!H10)</f>
        <v/>
      </c>
      <c r="J29" s="22" t="str">
        <f>IF('PCR plate'!I10="","",'PCR plate'!I10)</f>
        <v/>
      </c>
      <c r="K29" s="22" t="str">
        <f>IF('PCR plate'!J10="","",'PCR plate'!J10)</f>
        <v/>
      </c>
      <c r="L29" s="22" t="str">
        <f>IF('PCR plate'!K10="","",'PCR plate'!K10)</f>
        <v/>
      </c>
      <c r="M29" s="22" t="str">
        <f>IF('PCR plate'!L10="","",'PCR plate'!L10)</f>
        <v/>
      </c>
      <c r="N29" s="22" t="str">
        <f>IF('PCR plate'!M10="","",'PCR plate'!M10)</f>
        <v/>
      </c>
      <c r="O29" s="39" t="s">
        <v>14</v>
      </c>
      <c r="P29" s="4"/>
    </row>
    <row r="30" spans="2:16" ht="17" thickBot="1">
      <c r="C30" s="26">
        <v>1</v>
      </c>
      <c r="D30" s="27">
        <v>2</v>
      </c>
      <c r="E30" s="27">
        <v>3</v>
      </c>
      <c r="F30" s="27">
        <v>4</v>
      </c>
      <c r="G30" s="27">
        <v>5</v>
      </c>
      <c r="H30" s="27">
        <v>6</v>
      </c>
      <c r="I30" s="27">
        <v>7</v>
      </c>
      <c r="J30" s="27">
        <v>8</v>
      </c>
      <c r="K30" s="27">
        <v>9</v>
      </c>
      <c r="L30" s="27">
        <v>10</v>
      </c>
      <c r="M30" s="27">
        <v>11</v>
      </c>
      <c r="N30" s="28">
        <v>12</v>
      </c>
      <c r="P30" s="5"/>
    </row>
  </sheetData>
  <mergeCells count="5">
    <mergeCell ref="R3:W3"/>
    <mergeCell ref="L12:N12"/>
    <mergeCell ref="C1:D1"/>
    <mergeCell ref="E1:N1"/>
    <mergeCell ref="L2:M2"/>
  </mergeCells>
  <phoneticPr fontId="5" type="noConversion"/>
  <conditionalFormatting sqref="D13:N19">
    <cfRule type="expression" dxfId="0" priority="1">
      <formula>D$13=""</formula>
    </cfRule>
  </conditionalFormatting>
  <pageMargins left="0.25" right="0.25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11"/>
  <sheetViews>
    <sheetView zoomScale="68" workbookViewId="0">
      <selection activeCell="E10" sqref="E10"/>
    </sheetView>
  </sheetViews>
  <sheetFormatPr baseColWidth="10" defaultRowHeight="16"/>
  <cols>
    <col min="1" max="1" width="2.33203125" bestFit="1" customWidth="1"/>
    <col min="2" max="13" width="15.83203125" customWidth="1"/>
    <col min="14" max="14" width="2.33203125" bestFit="1" customWidth="1"/>
  </cols>
  <sheetData>
    <row r="2" spans="1:14"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</row>
    <row r="3" spans="1:14" ht="55" customHeight="1">
      <c r="A3" s="3" t="s">
        <v>7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4" t="s">
        <v>7</v>
      </c>
    </row>
    <row r="4" spans="1:14" ht="55" customHeight="1">
      <c r="A4" s="3" t="s">
        <v>8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4" t="s">
        <v>8</v>
      </c>
    </row>
    <row r="5" spans="1:14" ht="55" customHeight="1">
      <c r="A5" s="3" t="s">
        <v>9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4" t="s">
        <v>9</v>
      </c>
    </row>
    <row r="6" spans="1:14" ht="55" customHeight="1">
      <c r="A6" s="3" t="s">
        <v>10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4" t="s">
        <v>10</v>
      </c>
    </row>
    <row r="7" spans="1:14" ht="55" customHeight="1">
      <c r="A7" s="3" t="s">
        <v>11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4" t="s">
        <v>11</v>
      </c>
    </row>
    <row r="8" spans="1:14" ht="55" customHeight="1">
      <c r="A8" s="3" t="s">
        <v>12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4" t="s">
        <v>12</v>
      </c>
    </row>
    <row r="9" spans="1:14" ht="55" customHeight="1">
      <c r="A9" s="3" t="s">
        <v>13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4" t="s">
        <v>13</v>
      </c>
    </row>
    <row r="10" spans="1:14" ht="55" customHeight="1">
      <c r="A10" s="3" t="s">
        <v>14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4" t="s">
        <v>14</v>
      </c>
    </row>
    <row r="11" spans="1:14" s="5" customFormat="1"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>
        <v>7</v>
      </c>
      <c r="I11" s="6">
        <v>8</v>
      </c>
      <c r="J11" s="6">
        <v>9</v>
      </c>
      <c r="K11" s="6">
        <v>10</v>
      </c>
      <c r="L11" s="6">
        <v>11</v>
      </c>
      <c r="M11" s="6">
        <v>12</v>
      </c>
    </row>
  </sheetData>
  <phoneticPr fontId="5" type="noConversion"/>
  <pageMargins left="0.25" right="0.25" top="0.75" bottom="0.75" header="0.3" footer="0.3"/>
  <pageSetup orientation="landscape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1"/>
  <sheetViews>
    <sheetView topLeftCell="A3" zoomScale="75" workbookViewId="0">
      <selection activeCell="N13" sqref="N13"/>
    </sheetView>
  </sheetViews>
  <sheetFormatPr baseColWidth="10" defaultRowHeight="16"/>
  <cols>
    <col min="1" max="16384" width="10.83203125" style="2"/>
  </cols>
  <sheetData>
    <row r="2" spans="1:10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</row>
    <row r="3" spans="1:10" ht="84" customHeight="1">
      <c r="A3" s="7"/>
      <c r="B3" s="7"/>
      <c r="C3" s="7"/>
      <c r="D3" s="7"/>
      <c r="E3" s="7"/>
      <c r="F3" s="7"/>
    </row>
    <row r="4" spans="1:10">
      <c r="A4" s="7">
        <f t="shared" ref="A4:F4" si="0">A2+6</f>
        <v>7</v>
      </c>
      <c r="B4" s="7">
        <f t="shared" si="0"/>
        <v>8</v>
      </c>
      <c r="C4" s="7">
        <f t="shared" si="0"/>
        <v>9</v>
      </c>
      <c r="D4" s="7">
        <f t="shared" si="0"/>
        <v>10</v>
      </c>
      <c r="E4" s="7">
        <f t="shared" si="0"/>
        <v>11</v>
      </c>
      <c r="F4" s="7">
        <f t="shared" si="0"/>
        <v>12</v>
      </c>
    </row>
    <row r="5" spans="1:10" ht="84" customHeight="1">
      <c r="A5" s="7"/>
      <c r="B5" s="7"/>
      <c r="C5" s="7"/>
      <c r="D5" s="7"/>
      <c r="E5" s="7"/>
      <c r="F5" s="7"/>
    </row>
    <row r="8" spans="1:10">
      <c r="A8" s="7">
        <v>1</v>
      </c>
      <c r="B8" s="7">
        <v>2</v>
      </c>
      <c r="C8" s="7">
        <v>3</v>
      </c>
      <c r="D8" s="7">
        <v>4</v>
      </c>
      <c r="E8" s="7">
        <v>5</v>
      </c>
      <c r="F8" s="7">
        <v>6</v>
      </c>
      <c r="G8" s="7">
        <v>7</v>
      </c>
      <c r="H8" s="7">
        <v>8</v>
      </c>
      <c r="I8" s="7">
        <v>9</v>
      </c>
      <c r="J8" s="7">
        <v>10</v>
      </c>
    </row>
    <row r="9" spans="1:10" ht="84" customHeight="1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>
      <c r="A10" s="7">
        <f t="shared" ref="A10:J10" si="1">A8+10</f>
        <v>11</v>
      </c>
      <c r="B10" s="7">
        <f t="shared" si="1"/>
        <v>12</v>
      </c>
      <c r="C10" s="7">
        <f t="shared" si="1"/>
        <v>13</v>
      </c>
      <c r="D10" s="7">
        <f t="shared" si="1"/>
        <v>14</v>
      </c>
      <c r="E10" s="7">
        <f t="shared" si="1"/>
        <v>15</v>
      </c>
      <c r="F10" s="7">
        <f t="shared" si="1"/>
        <v>16</v>
      </c>
      <c r="G10" s="7">
        <f t="shared" si="1"/>
        <v>17</v>
      </c>
      <c r="H10" s="7">
        <f t="shared" si="1"/>
        <v>18</v>
      </c>
      <c r="I10" s="7">
        <f t="shared" si="1"/>
        <v>19</v>
      </c>
      <c r="J10" s="7">
        <f t="shared" si="1"/>
        <v>20</v>
      </c>
    </row>
    <row r="11" spans="1:10" ht="84" customHeight="1">
      <c r="A11" s="7"/>
      <c r="B11" s="7"/>
      <c r="C11" s="7"/>
      <c r="D11" s="7"/>
      <c r="E11" s="7"/>
      <c r="F11" s="7"/>
      <c r="G11" s="7"/>
      <c r="H11" s="7"/>
      <c r="I11" s="7"/>
      <c r="J11" s="7"/>
    </row>
  </sheetData>
  <phoneticPr fontId="5" type="noConversion"/>
  <pageMargins left="0.75" right="0.75" top="1" bottom="1" header="0.5" footer="0.5"/>
  <pageSetup orientation="landscape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3"/>
  <sheetViews>
    <sheetView workbookViewId="0">
      <selection activeCell="M11" sqref="M11"/>
    </sheetView>
  </sheetViews>
  <sheetFormatPr baseColWidth="10" defaultRowHeight="16"/>
  <cols>
    <col min="1" max="20" width="7.5" customWidth="1"/>
  </cols>
  <sheetData>
    <row r="1" spans="1:12" ht="17" thickBot="1">
      <c r="A1" s="14">
        <v>1</v>
      </c>
      <c r="B1" s="14">
        <v>2</v>
      </c>
      <c r="C1" s="15">
        <v>3</v>
      </c>
      <c r="D1" s="14">
        <v>4</v>
      </c>
      <c r="E1" s="15">
        <v>5</v>
      </c>
      <c r="F1" s="14">
        <v>6</v>
      </c>
      <c r="G1" s="15">
        <v>7</v>
      </c>
      <c r="H1" s="14">
        <v>8</v>
      </c>
      <c r="I1" s="15">
        <v>9</v>
      </c>
      <c r="J1" s="14">
        <v>10</v>
      </c>
      <c r="K1" s="13">
        <v>11</v>
      </c>
      <c r="L1" s="14">
        <v>12</v>
      </c>
    </row>
    <row r="2" spans="1:12">
      <c r="A2" s="17"/>
      <c r="B2" s="17"/>
      <c r="C2" s="18"/>
      <c r="D2" s="17"/>
      <c r="E2" s="18"/>
      <c r="F2" s="17"/>
      <c r="G2" s="18"/>
      <c r="H2" s="17"/>
      <c r="I2" s="18"/>
      <c r="J2" s="17"/>
      <c r="K2" s="16"/>
      <c r="L2" s="17"/>
    </row>
    <row r="3" spans="1:12">
      <c r="A3" s="17"/>
      <c r="B3" s="17"/>
      <c r="C3" s="18"/>
      <c r="D3" s="17"/>
      <c r="E3" s="18"/>
      <c r="F3" s="17"/>
      <c r="G3" s="18"/>
      <c r="H3" s="17"/>
      <c r="I3" s="18"/>
      <c r="J3" s="17"/>
      <c r="K3" s="16"/>
      <c r="L3" s="17"/>
    </row>
    <row r="4" spans="1:12">
      <c r="A4" s="17"/>
      <c r="B4" s="17"/>
      <c r="C4" s="18"/>
      <c r="D4" s="17"/>
      <c r="E4" s="18"/>
      <c r="F4" s="17"/>
      <c r="G4" s="18"/>
      <c r="H4" s="17"/>
      <c r="I4" s="18"/>
      <c r="J4" s="17"/>
      <c r="K4" s="16"/>
      <c r="L4" s="17"/>
    </row>
    <row r="5" spans="1:12">
      <c r="A5" s="17"/>
      <c r="B5" s="17"/>
      <c r="C5" s="18"/>
      <c r="D5" s="17"/>
      <c r="E5" s="18"/>
      <c r="F5" s="17"/>
      <c r="G5" s="18"/>
      <c r="H5" s="17"/>
      <c r="I5" s="18"/>
      <c r="J5" s="17"/>
      <c r="K5" s="16"/>
      <c r="L5" s="17"/>
    </row>
    <row r="6" spans="1:12">
      <c r="A6" s="17"/>
      <c r="B6" s="17"/>
      <c r="C6" s="18"/>
      <c r="D6" s="17"/>
      <c r="E6" s="18"/>
      <c r="F6" s="17"/>
      <c r="G6" s="18"/>
      <c r="H6" s="17"/>
      <c r="I6" s="18"/>
      <c r="J6" s="17"/>
      <c r="K6" s="16"/>
      <c r="L6" s="17"/>
    </row>
    <row r="7" spans="1:12">
      <c r="A7" s="17"/>
      <c r="B7" s="17"/>
      <c r="C7" s="18"/>
      <c r="D7" s="17"/>
      <c r="E7" s="18"/>
      <c r="F7" s="17"/>
      <c r="G7" s="18"/>
      <c r="H7" s="17"/>
      <c r="I7" s="18"/>
      <c r="J7" s="17"/>
      <c r="K7" s="16"/>
      <c r="L7" s="17"/>
    </row>
    <row r="8" spans="1:12" ht="17" thickBot="1">
      <c r="A8" s="17"/>
      <c r="B8" s="17"/>
      <c r="C8" s="18"/>
      <c r="D8" s="17"/>
      <c r="E8" s="18"/>
      <c r="F8" s="17"/>
      <c r="G8" s="18"/>
      <c r="H8" s="17"/>
      <c r="I8" s="18"/>
      <c r="J8" s="17"/>
      <c r="K8" s="16"/>
      <c r="L8" s="17"/>
    </row>
    <row r="9" spans="1:12" ht="17" thickBot="1">
      <c r="A9" s="14">
        <f>A1+12</f>
        <v>13</v>
      </c>
      <c r="B9" s="14">
        <f t="shared" ref="B9:L9" si="0">B1+12</f>
        <v>14</v>
      </c>
      <c r="C9" s="15">
        <f t="shared" si="0"/>
        <v>15</v>
      </c>
      <c r="D9" s="14">
        <f t="shared" si="0"/>
        <v>16</v>
      </c>
      <c r="E9" s="15">
        <f t="shared" si="0"/>
        <v>17</v>
      </c>
      <c r="F9" s="14">
        <f t="shared" si="0"/>
        <v>18</v>
      </c>
      <c r="G9" s="15">
        <f t="shared" si="0"/>
        <v>19</v>
      </c>
      <c r="H9" s="14">
        <f t="shared" si="0"/>
        <v>20</v>
      </c>
      <c r="I9" s="15">
        <f t="shared" si="0"/>
        <v>21</v>
      </c>
      <c r="J9" s="14">
        <f t="shared" si="0"/>
        <v>22</v>
      </c>
      <c r="K9" s="13">
        <f t="shared" si="0"/>
        <v>23</v>
      </c>
      <c r="L9" s="14">
        <f t="shared" si="0"/>
        <v>24</v>
      </c>
    </row>
    <row r="10" spans="1:12">
      <c r="A10" s="17"/>
      <c r="B10" s="17"/>
      <c r="C10" s="18"/>
      <c r="D10" s="17"/>
      <c r="E10" s="18"/>
      <c r="F10" s="17"/>
      <c r="G10" s="18"/>
      <c r="H10" s="17"/>
      <c r="I10" s="18"/>
      <c r="J10" s="17"/>
      <c r="K10" s="16"/>
      <c r="L10" s="17"/>
    </row>
    <row r="11" spans="1:12">
      <c r="A11" s="17"/>
      <c r="B11" s="17"/>
      <c r="C11" s="18"/>
      <c r="D11" s="17"/>
      <c r="E11" s="18"/>
      <c r="F11" s="17"/>
      <c r="G11" s="18"/>
      <c r="H11" s="17"/>
      <c r="I11" s="18"/>
      <c r="J11" s="17"/>
      <c r="K11" s="16"/>
      <c r="L11" s="17"/>
    </row>
    <row r="12" spans="1:12">
      <c r="A12" s="17"/>
      <c r="B12" s="17"/>
      <c r="C12" s="18"/>
      <c r="D12" s="17"/>
      <c r="E12" s="18"/>
      <c r="F12" s="17"/>
      <c r="G12" s="18"/>
      <c r="H12" s="17"/>
      <c r="I12" s="18"/>
      <c r="J12" s="17"/>
      <c r="K12" s="16"/>
      <c r="L12" s="17"/>
    </row>
    <row r="13" spans="1:12">
      <c r="A13" s="17"/>
      <c r="B13" s="17"/>
      <c r="C13" s="18"/>
      <c r="D13" s="17"/>
      <c r="E13" s="18"/>
      <c r="F13" s="17"/>
      <c r="G13" s="18"/>
      <c r="H13" s="17"/>
      <c r="I13" s="18"/>
      <c r="J13" s="17"/>
      <c r="K13" s="16"/>
      <c r="L13" s="17"/>
    </row>
    <row r="14" spans="1:12">
      <c r="A14" s="17"/>
      <c r="B14" s="17"/>
      <c r="C14" s="18"/>
      <c r="D14" s="17"/>
      <c r="E14" s="18"/>
      <c r="F14" s="17"/>
      <c r="G14" s="18"/>
      <c r="H14" s="17"/>
      <c r="I14" s="18"/>
      <c r="J14" s="17"/>
      <c r="K14" s="16"/>
      <c r="L14" s="17"/>
    </row>
    <row r="15" spans="1:12">
      <c r="A15" s="17"/>
      <c r="B15" s="17"/>
      <c r="C15" s="18"/>
      <c r="D15" s="17"/>
      <c r="E15" s="18"/>
      <c r="F15" s="17"/>
      <c r="G15" s="18"/>
      <c r="H15" s="17"/>
      <c r="I15" s="18"/>
      <c r="J15" s="17"/>
      <c r="K15" s="16"/>
      <c r="L15" s="17"/>
    </row>
    <row r="16" spans="1:12" ht="17" thickBot="1">
      <c r="A16" s="20"/>
      <c r="B16" s="20"/>
      <c r="C16" s="21"/>
      <c r="D16" s="20"/>
      <c r="E16" s="21"/>
      <c r="F16" s="20"/>
      <c r="G16" s="21"/>
      <c r="H16" s="20"/>
      <c r="I16" s="21"/>
      <c r="J16" s="20"/>
      <c r="K16" s="19"/>
      <c r="L16" s="20"/>
    </row>
    <row r="17" spans="1:20" ht="17" thickBot="1"/>
    <row r="18" spans="1:20" ht="17" thickBot="1">
      <c r="A18" s="14">
        <v>1</v>
      </c>
      <c r="B18" s="13">
        <v>2</v>
      </c>
      <c r="C18" s="13">
        <v>3</v>
      </c>
      <c r="D18" s="13">
        <v>4</v>
      </c>
      <c r="E18" s="13">
        <v>5</v>
      </c>
      <c r="F18" s="13">
        <v>6</v>
      </c>
      <c r="G18" s="13">
        <v>7</v>
      </c>
      <c r="H18" s="13">
        <v>8</v>
      </c>
      <c r="I18" s="13">
        <v>9</v>
      </c>
      <c r="J18" s="13">
        <v>10</v>
      </c>
      <c r="K18" s="13">
        <v>11</v>
      </c>
      <c r="L18" s="13">
        <v>12</v>
      </c>
      <c r="M18" s="13">
        <v>13</v>
      </c>
      <c r="N18" s="13">
        <v>14</v>
      </c>
      <c r="O18" s="13">
        <v>15</v>
      </c>
      <c r="P18" s="13">
        <v>16</v>
      </c>
      <c r="Q18" s="13">
        <v>17</v>
      </c>
      <c r="R18" s="13">
        <v>18</v>
      </c>
      <c r="S18" s="13">
        <v>19</v>
      </c>
      <c r="T18" s="14">
        <v>20</v>
      </c>
    </row>
    <row r="19" spans="1:20">
      <c r="A19" s="17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7"/>
    </row>
    <row r="20" spans="1:20">
      <c r="A20" s="17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7"/>
    </row>
    <row r="21" spans="1:20">
      <c r="A21" s="17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7"/>
    </row>
    <row r="22" spans="1:20">
      <c r="A22" s="17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7"/>
    </row>
    <row r="23" spans="1:20">
      <c r="A23" s="17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7"/>
    </row>
    <row r="24" spans="1:20">
      <c r="A24" s="17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7"/>
    </row>
    <row r="25" spans="1:20" ht="17" thickBot="1">
      <c r="A25" s="17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7"/>
    </row>
    <row r="26" spans="1:20" ht="17" thickBot="1">
      <c r="A26" s="14">
        <f>A18+20</f>
        <v>21</v>
      </c>
      <c r="B26" s="13">
        <f t="shared" ref="B26:R26" si="1">B18+20</f>
        <v>22</v>
      </c>
      <c r="C26" s="13">
        <f t="shared" si="1"/>
        <v>23</v>
      </c>
      <c r="D26" s="13">
        <f t="shared" si="1"/>
        <v>24</v>
      </c>
      <c r="E26" s="13">
        <f t="shared" si="1"/>
        <v>25</v>
      </c>
      <c r="F26" s="13">
        <f t="shared" si="1"/>
        <v>26</v>
      </c>
      <c r="G26" s="13">
        <f t="shared" si="1"/>
        <v>27</v>
      </c>
      <c r="H26" s="13">
        <f t="shared" si="1"/>
        <v>28</v>
      </c>
      <c r="I26" s="13">
        <f t="shared" si="1"/>
        <v>29</v>
      </c>
      <c r="J26" s="13">
        <f t="shared" si="1"/>
        <v>30</v>
      </c>
      <c r="K26" s="13">
        <f t="shared" si="1"/>
        <v>31</v>
      </c>
      <c r="L26" s="13">
        <f t="shared" si="1"/>
        <v>32</v>
      </c>
      <c r="M26" s="13">
        <f t="shared" si="1"/>
        <v>33</v>
      </c>
      <c r="N26" s="13">
        <f t="shared" si="1"/>
        <v>34</v>
      </c>
      <c r="O26" s="13">
        <f t="shared" si="1"/>
        <v>35</v>
      </c>
      <c r="P26" s="13">
        <f t="shared" si="1"/>
        <v>36</v>
      </c>
      <c r="Q26" s="13">
        <f t="shared" si="1"/>
        <v>37</v>
      </c>
      <c r="R26" s="13">
        <f t="shared" si="1"/>
        <v>38</v>
      </c>
      <c r="S26" s="13">
        <f>S18+20</f>
        <v>39</v>
      </c>
      <c r="T26" s="14">
        <f t="shared" ref="T26" si="2">T18+20</f>
        <v>40</v>
      </c>
    </row>
    <row r="27" spans="1:20">
      <c r="A27" s="17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7"/>
    </row>
    <row r="28" spans="1:20">
      <c r="A28" s="17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7"/>
    </row>
    <row r="29" spans="1:20">
      <c r="A29" s="17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7"/>
    </row>
    <row r="30" spans="1:20">
      <c r="A30" s="17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7"/>
    </row>
    <row r="31" spans="1:20">
      <c r="A31" s="17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7"/>
    </row>
    <row r="32" spans="1:20">
      <c r="A32" s="17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7"/>
    </row>
    <row r="33" spans="1:20" ht="17" thickBot="1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</sheetData>
  <phoneticPr fontId="5" type="noConversion"/>
  <pageMargins left="0.75" right="0.75" top="1" bottom="1" header="0.5" footer="0.5"/>
  <pageSetup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8"/>
  <sheetViews>
    <sheetView zoomScale="87" workbookViewId="0">
      <selection activeCell="M14" sqref="M14"/>
    </sheetView>
  </sheetViews>
  <sheetFormatPr baseColWidth="10" defaultRowHeight="16"/>
  <cols>
    <col min="1" max="25" width="6.33203125" style="9" customWidth="1"/>
    <col min="26" max="16384" width="10.83203125" style="9"/>
  </cols>
  <sheetData>
    <row r="1" spans="1:25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8">
        <v>12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</row>
    <row r="2" spans="1:25" ht="96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15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5">
      <c r="A3" s="8">
        <f>A1+25</f>
        <v>26</v>
      </c>
      <c r="B3" s="8">
        <f t="shared" ref="B3:Y3" si="0">B1+25</f>
        <v>27</v>
      </c>
      <c r="C3" s="8">
        <f t="shared" si="0"/>
        <v>28</v>
      </c>
      <c r="D3" s="8">
        <f t="shared" si="0"/>
        <v>29</v>
      </c>
      <c r="E3" s="8">
        <f t="shared" si="0"/>
        <v>30</v>
      </c>
      <c r="F3" s="8">
        <f t="shared" si="0"/>
        <v>31</v>
      </c>
      <c r="G3" s="8">
        <f t="shared" si="0"/>
        <v>32</v>
      </c>
      <c r="H3" s="8">
        <f t="shared" si="0"/>
        <v>33</v>
      </c>
      <c r="I3" s="8">
        <f t="shared" si="0"/>
        <v>34</v>
      </c>
      <c r="J3" s="8">
        <f t="shared" si="0"/>
        <v>35</v>
      </c>
      <c r="K3" s="8">
        <f t="shared" si="0"/>
        <v>36</v>
      </c>
      <c r="L3" s="8">
        <f t="shared" si="0"/>
        <v>37</v>
      </c>
      <c r="M3" s="8">
        <f t="shared" si="0"/>
        <v>38</v>
      </c>
      <c r="N3" s="8">
        <f t="shared" si="0"/>
        <v>39</v>
      </c>
      <c r="O3" s="8">
        <f t="shared" si="0"/>
        <v>40</v>
      </c>
      <c r="P3" s="8">
        <f t="shared" si="0"/>
        <v>41</v>
      </c>
      <c r="Q3" s="8">
        <f t="shared" si="0"/>
        <v>42</v>
      </c>
      <c r="R3" s="8">
        <f t="shared" si="0"/>
        <v>43</v>
      </c>
      <c r="S3" s="8">
        <f t="shared" si="0"/>
        <v>44</v>
      </c>
      <c r="T3" s="8">
        <f t="shared" si="0"/>
        <v>45</v>
      </c>
      <c r="U3" s="8">
        <f t="shared" si="0"/>
        <v>46</v>
      </c>
      <c r="V3" s="8">
        <f t="shared" si="0"/>
        <v>47</v>
      </c>
      <c r="W3" s="8">
        <f t="shared" si="0"/>
        <v>48</v>
      </c>
      <c r="X3" s="8">
        <f t="shared" si="0"/>
        <v>49</v>
      </c>
      <c r="Y3" s="8">
        <f t="shared" si="0"/>
        <v>50</v>
      </c>
    </row>
    <row r="4" spans="1:25" ht="96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 t="s">
        <v>15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>
      <c r="A5" s="8">
        <f t="shared" ref="A5:P5" si="1">A3+25</f>
        <v>51</v>
      </c>
      <c r="B5" s="8">
        <f t="shared" si="1"/>
        <v>52</v>
      </c>
      <c r="C5" s="8">
        <f t="shared" si="1"/>
        <v>53</v>
      </c>
      <c r="D5" s="8">
        <f t="shared" si="1"/>
        <v>54</v>
      </c>
      <c r="E5" s="8">
        <f t="shared" si="1"/>
        <v>55</v>
      </c>
      <c r="F5" s="8">
        <f t="shared" si="1"/>
        <v>56</v>
      </c>
      <c r="G5" s="8">
        <f t="shared" si="1"/>
        <v>57</v>
      </c>
      <c r="H5" s="8">
        <f t="shared" si="1"/>
        <v>58</v>
      </c>
      <c r="I5" s="8">
        <f t="shared" si="1"/>
        <v>59</v>
      </c>
      <c r="J5" s="8">
        <f t="shared" si="1"/>
        <v>60</v>
      </c>
      <c r="K5" s="8">
        <f t="shared" si="1"/>
        <v>61</v>
      </c>
      <c r="L5" s="8">
        <f t="shared" si="1"/>
        <v>62</v>
      </c>
      <c r="M5" s="8">
        <f t="shared" si="1"/>
        <v>63</v>
      </c>
      <c r="N5" s="8">
        <f t="shared" si="1"/>
        <v>64</v>
      </c>
      <c r="O5" s="8">
        <f t="shared" si="1"/>
        <v>65</v>
      </c>
      <c r="P5" s="8">
        <f t="shared" si="1"/>
        <v>66</v>
      </c>
      <c r="Q5" s="8">
        <f t="shared" ref="Q5:Y5" si="2">Q3+25</f>
        <v>67</v>
      </c>
      <c r="R5" s="8">
        <f t="shared" si="2"/>
        <v>68</v>
      </c>
      <c r="S5" s="8">
        <f t="shared" si="2"/>
        <v>69</v>
      </c>
      <c r="T5" s="8">
        <f t="shared" si="2"/>
        <v>70</v>
      </c>
      <c r="U5" s="8">
        <f t="shared" si="2"/>
        <v>71</v>
      </c>
      <c r="V5" s="8">
        <f t="shared" si="2"/>
        <v>72</v>
      </c>
      <c r="W5" s="8">
        <f t="shared" si="2"/>
        <v>73</v>
      </c>
      <c r="X5" s="8">
        <f t="shared" si="2"/>
        <v>74</v>
      </c>
      <c r="Y5" s="8">
        <f t="shared" si="2"/>
        <v>75</v>
      </c>
    </row>
    <row r="6" spans="1:25" ht="96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 t="s">
        <v>15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5">
      <c r="A7" s="8">
        <f t="shared" ref="A7:Y7" si="3">A5+25</f>
        <v>76</v>
      </c>
      <c r="B7" s="8">
        <f t="shared" si="3"/>
        <v>77</v>
      </c>
      <c r="C7" s="8">
        <f t="shared" si="3"/>
        <v>78</v>
      </c>
      <c r="D7" s="8">
        <f t="shared" si="3"/>
        <v>79</v>
      </c>
      <c r="E7" s="8">
        <f t="shared" si="3"/>
        <v>80</v>
      </c>
      <c r="F7" s="8">
        <f t="shared" si="3"/>
        <v>81</v>
      </c>
      <c r="G7" s="8">
        <f t="shared" si="3"/>
        <v>82</v>
      </c>
      <c r="H7" s="8">
        <f t="shared" si="3"/>
        <v>83</v>
      </c>
      <c r="I7" s="8">
        <f t="shared" si="3"/>
        <v>84</v>
      </c>
      <c r="J7" s="8">
        <f t="shared" si="3"/>
        <v>85</v>
      </c>
      <c r="K7" s="8">
        <f t="shared" si="3"/>
        <v>86</v>
      </c>
      <c r="L7" s="8">
        <f t="shared" si="3"/>
        <v>87</v>
      </c>
      <c r="M7" s="8">
        <f t="shared" si="3"/>
        <v>88</v>
      </c>
      <c r="N7" s="8">
        <f t="shared" si="3"/>
        <v>89</v>
      </c>
      <c r="O7" s="8">
        <f t="shared" si="3"/>
        <v>90</v>
      </c>
      <c r="P7" s="8">
        <f t="shared" si="3"/>
        <v>91</v>
      </c>
      <c r="Q7" s="8">
        <f t="shared" si="3"/>
        <v>92</v>
      </c>
      <c r="R7" s="8">
        <f t="shared" si="3"/>
        <v>93</v>
      </c>
      <c r="S7" s="8">
        <f t="shared" si="3"/>
        <v>94</v>
      </c>
      <c r="T7" s="8">
        <f t="shared" si="3"/>
        <v>95</v>
      </c>
      <c r="U7" s="8">
        <f t="shared" si="3"/>
        <v>96</v>
      </c>
      <c r="V7" s="8">
        <f t="shared" si="3"/>
        <v>97</v>
      </c>
      <c r="W7" s="8">
        <f t="shared" si="3"/>
        <v>98</v>
      </c>
      <c r="X7" s="8">
        <f t="shared" si="3"/>
        <v>99</v>
      </c>
      <c r="Y7" s="8">
        <f t="shared" si="3"/>
        <v>100</v>
      </c>
    </row>
    <row r="8" spans="1:25" ht="96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 t="s">
        <v>15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</sheetData>
  <sheetProtection formatCells="0" formatColumns="0" formatRows="0" insertColumns="0" insertRows="0" insertHyperlinks="0" deleteColumns="0" deleteRows="0" selectLockedCells="1" sort="0" autoFilter="0" pivotTables="0"/>
  <phoneticPr fontId="5" type="noConversion"/>
  <pageMargins left="0.75" right="0.75" top="1" bottom="1" header="0.5" footer="0.5"/>
  <pageSetup orientation="landscape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PCR setup</vt:lpstr>
      <vt:lpstr>PCR setup with PCR plate</vt:lpstr>
      <vt:lpstr>PCR plate</vt:lpstr>
      <vt:lpstr>Small gel</vt:lpstr>
      <vt:lpstr>Medium gel</vt:lpstr>
      <vt:lpstr>large gel</vt:lpstr>
      <vt:lpstr>'PCR setup'!Print_Area</vt:lpstr>
      <vt:lpstr>'PCR setup with PCR 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Edmond McFaul</dc:creator>
  <cp:lastModifiedBy>Matt Edmond McFaul</cp:lastModifiedBy>
  <cp:lastPrinted>2017-03-20T23:52:18Z</cp:lastPrinted>
  <dcterms:created xsi:type="dcterms:W3CDTF">2016-07-01T17:08:21Z</dcterms:created>
  <dcterms:modified xsi:type="dcterms:W3CDTF">2020-05-19T22:42:51Z</dcterms:modified>
</cp:coreProperties>
</file>