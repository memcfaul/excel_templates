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3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MATT/Library/Group Containers/UBF8T346G9.Office/User Content.localized/Templates.localized/"/>
    </mc:Choice>
  </mc:AlternateContent>
  <xr:revisionPtr revIDLastSave="0" documentId="8_{6491E07C-9160-9D45-969C-CA748CBC4695}" xr6:coauthVersionLast="45" xr6:coauthVersionMax="45" xr10:uidLastSave="{00000000-0000-0000-0000-000000000000}"/>
  <bookViews>
    <workbookView xWindow="0" yWindow="460" windowWidth="25600" windowHeight="15540" tabRatio="500" xr2:uid="{00000000-000D-0000-FFFF-FFFF00000000}"/>
  </bookViews>
  <sheets>
    <sheet name="gene1" sheetId="4" r:id="rId1"/>
    <sheet name="gene2" sheetId="3" r:id="rId2"/>
    <sheet name="gene3" sheetId="5" r:id="rId3"/>
    <sheet name="gene4" sheetId="7" r:id="rId4"/>
    <sheet name="combined" sheetId="2" r:id="rId5"/>
    <sheet name="results" sheetId="6" r:id="rId6"/>
  </sheets>
  <definedNames>
    <definedName name="_xlnm.Print_Area" localSheetId="4">combined!$I$1:$R$26</definedName>
    <definedName name="_xlnm.Print_Area" localSheetId="0">gene1!$J$1:$Q$25</definedName>
    <definedName name="_xlnm.Print_Area" localSheetId="1">gene2!$J$1:$Q$25</definedName>
    <definedName name="_xlnm.Print_Area" localSheetId="2">gene3!$J$1:$Q$25</definedName>
    <definedName name="_xlnm.Print_Area" localSheetId="3">gene4!$J$1:$Q$25</definedName>
    <definedName name="_xlnm.Print_Area" localSheetId="5">results!$C$1:$L$44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" i="6" l="1" a="1"/>
  <c r="H7" i="6" s="1"/>
  <c r="H8" i="6" a="1"/>
  <c r="H8" i="6" s="1"/>
  <c r="H6" i="6" a="1"/>
  <c r="H6" i="6" s="1"/>
  <c r="H4" i="6" a="1"/>
  <c r="H4" i="6" s="1"/>
  <c r="H10" i="6" a="1"/>
  <c r="H10" i="6" s="1"/>
  <c r="H9" i="6" a="1"/>
  <c r="H9" i="6" s="1"/>
  <c r="A51" i="6" l="1"/>
  <c r="Q25" i="4" l="1"/>
  <c r="Q24" i="4"/>
  <c r="Q22" i="4"/>
  <c r="L1" i="2" l="1"/>
  <c r="C36" i="7"/>
  <c r="C35" i="7"/>
  <c r="C34" i="7"/>
  <c r="C33" i="7"/>
  <c r="C32" i="7"/>
  <c r="C31" i="7"/>
  <c r="C30" i="7"/>
  <c r="C29" i="7"/>
  <c r="C28" i="7"/>
  <c r="C27" i="7"/>
  <c r="C36" i="5"/>
  <c r="C35" i="5"/>
  <c r="C34" i="5"/>
  <c r="C33" i="5"/>
  <c r="C32" i="5"/>
  <c r="C31" i="5"/>
  <c r="C30" i="5"/>
  <c r="C29" i="5"/>
  <c r="C28" i="5"/>
  <c r="C27" i="5"/>
  <c r="C36" i="3"/>
  <c r="C35" i="3"/>
  <c r="C34" i="3"/>
  <c r="C33" i="3"/>
  <c r="C32" i="3"/>
  <c r="C31" i="3"/>
  <c r="C30" i="3"/>
  <c r="C29" i="3"/>
  <c r="C28" i="3"/>
  <c r="C27" i="3"/>
  <c r="C28" i="4"/>
  <c r="C29" i="4"/>
  <c r="C30" i="4"/>
  <c r="C31" i="4"/>
  <c r="C32" i="4"/>
  <c r="C33" i="4"/>
  <c r="C34" i="4"/>
  <c r="C35" i="4"/>
  <c r="C36" i="4"/>
  <c r="C27" i="4"/>
  <c r="Q25" i="7" l="1"/>
  <c r="O25" i="7"/>
  <c r="M25" i="7"/>
  <c r="K25" i="7"/>
  <c r="Q24" i="7"/>
  <c r="O24" i="7"/>
  <c r="M24" i="7"/>
  <c r="K24" i="7"/>
  <c r="Q23" i="7"/>
  <c r="O23" i="7"/>
  <c r="M23" i="7"/>
  <c r="K23" i="7"/>
  <c r="Q22" i="7"/>
  <c r="O22" i="7"/>
  <c r="M22" i="7"/>
  <c r="K22" i="7"/>
  <c r="Q21" i="7"/>
  <c r="O21" i="7"/>
  <c r="M21" i="7"/>
  <c r="K21" i="7"/>
  <c r="Q20" i="7"/>
  <c r="O20" i="7"/>
  <c r="M20" i="7"/>
  <c r="K20" i="7"/>
  <c r="Q19" i="7"/>
  <c r="O19" i="7"/>
  <c r="M19" i="7"/>
  <c r="K19" i="7"/>
  <c r="Q18" i="7"/>
  <c r="O18" i="7"/>
  <c r="M18" i="7"/>
  <c r="K18" i="7"/>
  <c r="Q17" i="7"/>
  <c r="O17" i="7"/>
  <c r="M17" i="7"/>
  <c r="K17" i="7"/>
  <c r="Q16" i="7"/>
  <c r="O16" i="7"/>
  <c r="M16" i="7"/>
  <c r="K16" i="7"/>
  <c r="Q15" i="7"/>
  <c r="O15" i="7"/>
  <c r="M15" i="7"/>
  <c r="K15" i="7"/>
  <c r="Q14" i="7"/>
  <c r="O14" i="7"/>
  <c r="M14" i="7"/>
  <c r="K14" i="7"/>
  <c r="Q13" i="7"/>
  <c r="O13" i="7"/>
  <c r="M13" i="7"/>
  <c r="K13" i="7"/>
  <c r="Q12" i="7"/>
  <c r="O12" i="7"/>
  <c r="M12" i="7"/>
  <c r="K12" i="7"/>
  <c r="Q11" i="7"/>
  <c r="O11" i="7"/>
  <c r="M11" i="7"/>
  <c r="K11" i="7"/>
  <c r="Q10" i="7"/>
  <c r="O10" i="7"/>
  <c r="M10" i="7"/>
  <c r="K10" i="7"/>
  <c r="Q9" i="7"/>
  <c r="O9" i="7"/>
  <c r="M9" i="7"/>
  <c r="K9" i="7"/>
  <c r="Q8" i="7"/>
  <c r="O8" i="7"/>
  <c r="M8" i="7"/>
  <c r="K8" i="7"/>
  <c r="Q7" i="7"/>
  <c r="O7" i="7"/>
  <c r="M7" i="7"/>
  <c r="K7" i="7"/>
  <c r="Q6" i="7"/>
  <c r="O6" i="7"/>
  <c r="M6" i="7"/>
  <c r="K6" i="7"/>
  <c r="Q5" i="7"/>
  <c r="O5" i="7"/>
  <c r="M5" i="7"/>
  <c r="K5" i="7"/>
  <c r="Q4" i="7"/>
  <c r="O4" i="7"/>
  <c r="M4" i="7"/>
  <c r="K4" i="7"/>
  <c r="Q3" i="7"/>
  <c r="O3" i="7"/>
  <c r="M3" i="7"/>
  <c r="K3" i="7"/>
  <c r="Q2" i="7"/>
  <c r="O2" i="7"/>
  <c r="M2" i="7"/>
  <c r="K2" i="7"/>
  <c r="Q25" i="5"/>
  <c r="O25" i="5"/>
  <c r="M25" i="5"/>
  <c r="K25" i="5"/>
  <c r="Q24" i="5"/>
  <c r="O24" i="5"/>
  <c r="M24" i="5"/>
  <c r="K24" i="5"/>
  <c r="Q23" i="5"/>
  <c r="O23" i="5"/>
  <c r="M23" i="5"/>
  <c r="K23" i="5"/>
  <c r="Q22" i="5"/>
  <c r="O22" i="5"/>
  <c r="M22" i="5"/>
  <c r="K22" i="5"/>
  <c r="Q21" i="5"/>
  <c r="O21" i="5"/>
  <c r="M21" i="5"/>
  <c r="K21" i="5"/>
  <c r="Q20" i="5"/>
  <c r="O20" i="5"/>
  <c r="M20" i="5"/>
  <c r="K20" i="5"/>
  <c r="Q19" i="5"/>
  <c r="O19" i="5"/>
  <c r="M19" i="5"/>
  <c r="K19" i="5"/>
  <c r="Q18" i="5"/>
  <c r="O18" i="5"/>
  <c r="M18" i="5"/>
  <c r="K18" i="5"/>
  <c r="Q17" i="5"/>
  <c r="O17" i="5"/>
  <c r="M17" i="5"/>
  <c r="K17" i="5"/>
  <c r="Q16" i="5"/>
  <c r="O16" i="5"/>
  <c r="M16" i="5"/>
  <c r="K16" i="5"/>
  <c r="Q15" i="5"/>
  <c r="O15" i="5"/>
  <c r="M15" i="5"/>
  <c r="K15" i="5"/>
  <c r="Q14" i="5"/>
  <c r="O14" i="5"/>
  <c r="M14" i="5"/>
  <c r="K14" i="5"/>
  <c r="Q13" i="5"/>
  <c r="O13" i="5"/>
  <c r="M13" i="5"/>
  <c r="K13" i="5"/>
  <c r="Q12" i="5"/>
  <c r="O12" i="5"/>
  <c r="M12" i="5"/>
  <c r="K12" i="5"/>
  <c r="Q11" i="5"/>
  <c r="O11" i="5"/>
  <c r="M11" i="5"/>
  <c r="K11" i="5"/>
  <c r="Q10" i="5"/>
  <c r="O10" i="5"/>
  <c r="M10" i="5"/>
  <c r="K10" i="5"/>
  <c r="Q9" i="5"/>
  <c r="O9" i="5"/>
  <c r="M9" i="5"/>
  <c r="K9" i="5"/>
  <c r="Q8" i="5"/>
  <c r="O8" i="5"/>
  <c r="M8" i="5"/>
  <c r="K8" i="5"/>
  <c r="Q7" i="5"/>
  <c r="O7" i="5"/>
  <c r="M7" i="5"/>
  <c r="K7" i="5"/>
  <c r="Q6" i="5"/>
  <c r="O6" i="5"/>
  <c r="M6" i="5"/>
  <c r="K6" i="5"/>
  <c r="Q5" i="5"/>
  <c r="O5" i="5"/>
  <c r="M5" i="5"/>
  <c r="K5" i="5"/>
  <c r="Q4" i="5"/>
  <c r="O4" i="5"/>
  <c r="M4" i="5"/>
  <c r="K4" i="5"/>
  <c r="Q3" i="5"/>
  <c r="O3" i="5"/>
  <c r="M3" i="5"/>
  <c r="K3" i="5"/>
  <c r="Q2" i="5"/>
  <c r="O2" i="5"/>
  <c r="M2" i="5"/>
  <c r="K2" i="5"/>
  <c r="Q25" i="3"/>
  <c r="O25" i="3"/>
  <c r="M25" i="3"/>
  <c r="K25" i="3"/>
  <c r="Q24" i="3"/>
  <c r="H25" i="2" s="1"/>
  <c r="O24" i="3"/>
  <c r="M24" i="3"/>
  <c r="K24" i="3"/>
  <c r="Q23" i="3"/>
  <c r="O23" i="3"/>
  <c r="M23" i="3"/>
  <c r="K23" i="3"/>
  <c r="Q22" i="3"/>
  <c r="H23" i="2" s="1"/>
  <c r="O22" i="3"/>
  <c r="M22" i="3"/>
  <c r="K22" i="3"/>
  <c r="Q21" i="3"/>
  <c r="O21" i="3"/>
  <c r="M21" i="3"/>
  <c r="K21" i="3"/>
  <c r="Q20" i="3"/>
  <c r="O20" i="3"/>
  <c r="M20" i="3"/>
  <c r="K20" i="3"/>
  <c r="Q19" i="3"/>
  <c r="O19" i="3"/>
  <c r="M19" i="3"/>
  <c r="K19" i="3"/>
  <c r="Q18" i="3"/>
  <c r="O18" i="3"/>
  <c r="M18" i="3"/>
  <c r="K18" i="3"/>
  <c r="Q17" i="3"/>
  <c r="O17" i="3"/>
  <c r="M17" i="3"/>
  <c r="K17" i="3"/>
  <c r="Q16" i="3"/>
  <c r="O16" i="3"/>
  <c r="M16" i="3"/>
  <c r="K16" i="3"/>
  <c r="Q15" i="3"/>
  <c r="O15" i="3"/>
  <c r="M15" i="3"/>
  <c r="K15" i="3"/>
  <c r="Q14" i="3"/>
  <c r="O14" i="3"/>
  <c r="M14" i="3"/>
  <c r="K14" i="3"/>
  <c r="Q13" i="3"/>
  <c r="O13" i="3"/>
  <c r="M13" i="3"/>
  <c r="K13" i="3"/>
  <c r="Q12" i="3"/>
  <c r="O12" i="3"/>
  <c r="M12" i="3"/>
  <c r="K12" i="3"/>
  <c r="Q11" i="3"/>
  <c r="O11" i="3"/>
  <c r="M11" i="3"/>
  <c r="K11" i="3"/>
  <c r="Q10" i="3"/>
  <c r="O10" i="3"/>
  <c r="M10" i="3"/>
  <c r="K10" i="3"/>
  <c r="Q9" i="3"/>
  <c r="O9" i="3"/>
  <c r="M9" i="3"/>
  <c r="K9" i="3"/>
  <c r="Q8" i="3"/>
  <c r="O8" i="3"/>
  <c r="M8" i="3"/>
  <c r="K8" i="3"/>
  <c r="Q7" i="3"/>
  <c r="O7" i="3"/>
  <c r="M7" i="3"/>
  <c r="K7" i="3"/>
  <c r="Q6" i="3"/>
  <c r="O6" i="3"/>
  <c r="M6" i="3"/>
  <c r="K6" i="3"/>
  <c r="Q5" i="3"/>
  <c r="O5" i="3"/>
  <c r="M5" i="3"/>
  <c r="K5" i="3"/>
  <c r="Q4" i="3"/>
  <c r="O4" i="3"/>
  <c r="M4" i="3"/>
  <c r="K4" i="3"/>
  <c r="Q3" i="3"/>
  <c r="O3" i="3"/>
  <c r="M3" i="3"/>
  <c r="K3" i="3"/>
  <c r="Q2" i="3"/>
  <c r="O2" i="3"/>
  <c r="M2" i="3"/>
  <c r="K2" i="3"/>
  <c r="H26" i="2"/>
  <c r="Q23" i="4"/>
  <c r="Q21" i="4"/>
  <c r="Q20" i="4"/>
  <c r="Q19" i="4"/>
  <c r="Q18" i="4"/>
  <c r="Q17" i="4"/>
  <c r="H18" i="2" s="1"/>
  <c r="Q16" i="4"/>
  <c r="Q15" i="4"/>
  <c r="Q14" i="4"/>
  <c r="Q13" i="4"/>
  <c r="H14" i="2" s="1"/>
  <c r="Q12" i="4"/>
  <c r="Q11" i="4"/>
  <c r="Q10" i="4"/>
  <c r="Q9" i="4"/>
  <c r="H10" i="2" s="1"/>
  <c r="Q8" i="4"/>
  <c r="Q7" i="4"/>
  <c r="Q6" i="4"/>
  <c r="Q5" i="4"/>
  <c r="H6" i="2" s="1"/>
  <c r="Q4" i="4"/>
  <c r="Q3" i="4"/>
  <c r="Q2" i="4"/>
  <c r="O25" i="4"/>
  <c r="F26" i="2" s="1"/>
  <c r="O24" i="4"/>
  <c r="F25" i="2" s="1"/>
  <c r="O23" i="4"/>
  <c r="F24" i="2" s="1"/>
  <c r="O22" i="4"/>
  <c r="F23" i="2" s="1"/>
  <c r="O21" i="4"/>
  <c r="F22" i="2" s="1"/>
  <c r="O20" i="4"/>
  <c r="F21" i="2" s="1"/>
  <c r="O19" i="4"/>
  <c r="F20" i="2" s="1"/>
  <c r="O18" i="4"/>
  <c r="F19" i="2" s="1"/>
  <c r="O17" i="4"/>
  <c r="F18" i="2" s="1"/>
  <c r="O16" i="4"/>
  <c r="F17" i="2" s="1"/>
  <c r="O15" i="4"/>
  <c r="O14" i="4"/>
  <c r="O13" i="4"/>
  <c r="F14" i="2" s="1"/>
  <c r="O12" i="4"/>
  <c r="O11" i="4"/>
  <c r="F12" i="2" s="1"/>
  <c r="O10" i="4"/>
  <c r="O9" i="4"/>
  <c r="F10" i="2" s="1"/>
  <c r="O8" i="4"/>
  <c r="F9" i="2" s="1"/>
  <c r="O7" i="4"/>
  <c r="O6" i="4"/>
  <c r="F7" i="2" s="1"/>
  <c r="O5" i="4"/>
  <c r="F6" i="2" s="1"/>
  <c r="O4" i="4"/>
  <c r="F5" i="2" s="1"/>
  <c r="O3" i="4"/>
  <c r="F4" i="2" s="1"/>
  <c r="O2" i="4"/>
  <c r="F3" i="2" s="1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Q1" i="7"/>
  <c r="O1" i="7"/>
  <c r="M1" i="7"/>
  <c r="K1" i="7"/>
  <c r="H1" i="7"/>
  <c r="F1" i="7"/>
  <c r="D1" i="7"/>
  <c r="D2" i="6"/>
  <c r="F36" i="5" l="1"/>
  <c r="F32" i="5"/>
  <c r="F28" i="5"/>
  <c r="F35" i="5"/>
  <c r="F31" i="5"/>
  <c r="F27" i="5"/>
  <c r="F34" i="5"/>
  <c r="F30" i="5"/>
  <c r="F33" i="5"/>
  <c r="F29" i="5"/>
  <c r="B23" i="2"/>
  <c r="D15" i="2"/>
  <c r="B19" i="2"/>
  <c r="B15" i="2"/>
  <c r="B11" i="2"/>
  <c r="D11" i="2"/>
  <c r="D19" i="2"/>
  <c r="D23" i="2"/>
  <c r="D12" i="2"/>
  <c r="D16" i="2"/>
  <c r="D20" i="2"/>
  <c r="D24" i="2"/>
  <c r="F8" i="2"/>
  <c r="F11" i="2"/>
  <c r="F13" i="2"/>
  <c r="F15" i="2"/>
  <c r="F16" i="2"/>
  <c r="D3" i="2"/>
  <c r="D7" i="2"/>
  <c r="D4" i="2"/>
  <c r="D8" i="2"/>
  <c r="H3" i="2"/>
  <c r="H15" i="2"/>
  <c r="H4" i="2"/>
  <c r="H8" i="2"/>
  <c r="H12" i="2"/>
  <c r="H16" i="2"/>
  <c r="H20" i="2"/>
  <c r="H24" i="2"/>
  <c r="H7" i="2"/>
  <c r="H11" i="2"/>
  <c r="H19" i="2"/>
  <c r="H9" i="2"/>
  <c r="H13" i="2"/>
  <c r="H17" i="2"/>
  <c r="H21" i="2"/>
  <c r="F35" i="3"/>
  <c r="F34" i="3"/>
  <c r="F30" i="3"/>
  <c r="F29" i="3"/>
  <c r="F33" i="3"/>
  <c r="F28" i="3"/>
  <c r="F36" i="3"/>
  <c r="F32" i="3"/>
  <c r="F27" i="3"/>
  <c r="F31" i="3"/>
  <c r="H5" i="2"/>
  <c r="B7" i="2"/>
  <c r="F36" i="7"/>
  <c r="F32" i="7"/>
  <c r="F28" i="7"/>
  <c r="F35" i="7"/>
  <c r="F31" i="7"/>
  <c r="F27" i="7"/>
  <c r="F34" i="7"/>
  <c r="F30" i="7"/>
  <c r="F33" i="7"/>
  <c r="F29" i="7"/>
  <c r="H22" i="2"/>
  <c r="D5" i="2"/>
  <c r="D13" i="2"/>
  <c r="D21" i="2"/>
  <c r="D25" i="2"/>
  <c r="D9" i="2"/>
  <c r="D17" i="2"/>
  <c r="D6" i="2"/>
  <c r="D10" i="2"/>
  <c r="D14" i="2"/>
  <c r="D18" i="2"/>
  <c r="D22" i="2"/>
  <c r="D26" i="2"/>
  <c r="B22" i="2"/>
  <c r="B10" i="2"/>
  <c r="B25" i="2"/>
  <c r="B9" i="2"/>
  <c r="B26" i="2"/>
  <c r="B18" i="2"/>
  <c r="B14" i="2"/>
  <c r="B6" i="2"/>
  <c r="B21" i="2"/>
  <c r="B17" i="2"/>
  <c r="B13" i="2"/>
  <c r="B5" i="2"/>
  <c r="B24" i="2"/>
  <c r="B20" i="2"/>
  <c r="B16" i="2"/>
  <c r="B12" i="2"/>
  <c r="B8" i="2"/>
  <c r="B4" i="2"/>
  <c r="K2" i="4"/>
  <c r="B2" i="2" s="1"/>
  <c r="F30" i="4" l="1"/>
  <c r="F28" i="4"/>
  <c r="F35" i="4"/>
  <c r="F27" i="4"/>
  <c r="F29" i="4"/>
  <c r="F31" i="4"/>
  <c r="F33" i="4"/>
  <c r="F36" i="4"/>
  <c r="F34" i="4"/>
  <c r="F32" i="4"/>
  <c r="B3" i="2"/>
  <c r="Q1" i="5"/>
  <c r="O1" i="5"/>
  <c r="M1" i="5"/>
  <c r="K1" i="5"/>
  <c r="Q1" i="3"/>
  <c r="O1" i="3"/>
  <c r="M1" i="3"/>
  <c r="K1" i="3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J3" i="6" l="1"/>
  <c r="E3" i="6"/>
  <c r="F3" i="6"/>
  <c r="D3" i="6"/>
  <c r="H3" i="6"/>
  <c r="I3" i="6"/>
  <c r="G3" i="6"/>
  <c r="L3" i="6"/>
  <c r="K3" i="6"/>
  <c r="Q1" i="4"/>
  <c r="O1" i="4"/>
  <c r="M1" i="4"/>
  <c r="K1" i="4"/>
  <c r="L3" i="2" l="1"/>
  <c r="P19" i="2"/>
  <c r="B68" i="6" s="1"/>
  <c r="R19" i="2"/>
  <c r="B92" i="6" s="1"/>
  <c r="R20" i="2"/>
  <c r="B93" i="6" s="1"/>
  <c r="R21" i="2"/>
  <c r="B94" i="6" s="1"/>
  <c r="R23" i="2"/>
  <c r="B96" i="6" s="1"/>
  <c r="R24" i="2"/>
  <c r="B97" i="6" s="1"/>
  <c r="L25" i="2"/>
  <c r="B26" i="6" s="1"/>
  <c r="N25" i="2"/>
  <c r="B50" i="6" s="1"/>
  <c r="R25" i="2"/>
  <c r="B98" i="6" s="1"/>
  <c r="R13" i="2"/>
  <c r="B86" i="6" s="1"/>
  <c r="R14" i="2"/>
  <c r="B87" i="6" s="1"/>
  <c r="N16" i="2"/>
  <c r="B41" i="6" s="1"/>
  <c r="N17" i="2"/>
  <c r="B42" i="6" s="1"/>
  <c r="P3" i="2"/>
  <c r="B52" i="6" s="1"/>
  <c r="P4" i="2"/>
  <c r="B53" i="6" s="1"/>
  <c r="N5" i="2"/>
  <c r="B30" i="6" s="1"/>
  <c r="L6" i="2"/>
  <c r="B7" i="6" s="1"/>
  <c r="N6" i="2"/>
  <c r="B31" i="6" s="1"/>
  <c r="P6" i="2"/>
  <c r="B55" i="6" s="1"/>
  <c r="R6" i="2"/>
  <c r="B79" i="6" s="1"/>
  <c r="P7" i="2"/>
  <c r="B56" i="6" s="1"/>
  <c r="R7" i="2"/>
  <c r="B80" i="6" s="1"/>
  <c r="P8" i="2"/>
  <c r="B57" i="6" s="1"/>
  <c r="P10" i="2"/>
  <c r="B59" i="6" s="1"/>
  <c r="R10" i="2"/>
  <c r="B83" i="6" s="1"/>
  <c r="L14" i="2"/>
  <c r="B15" i="6" s="1"/>
  <c r="H1" i="5"/>
  <c r="F1" i="5"/>
  <c r="D1" i="5"/>
  <c r="H1" i="3"/>
  <c r="F1" i="3"/>
  <c r="D1" i="3"/>
  <c r="F1" i="4"/>
  <c r="H1" i="4"/>
  <c r="D1" i="4"/>
  <c r="H43" i="2"/>
  <c r="B4" i="6" l="1"/>
  <c r="P9" i="2"/>
  <c r="B58" i="6" s="1"/>
  <c r="N14" i="2"/>
  <c r="B39" i="6" s="1"/>
  <c r="L17" i="2"/>
  <c r="B18" i="6" s="1"/>
  <c r="L13" i="2"/>
  <c r="B14" i="6" s="1"/>
  <c r="N10" i="2"/>
  <c r="B35" i="6" s="1"/>
  <c r="L10" i="2"/>
  <c r="B11" i="6" s="1"/>
  <c r="N9" i="2"/>
  <c r="B34" i="6" s="1"/>
  <c r="P5" i="2"/>
  <c r="B54" i="6" s="1"/>
  <c r="R18" i="2"/>
  <c r="B91" i="6" s="1"/>
  <c r="P17" i="2"/>
  <c r="B66" i="6" s="1"/>
  <c r="R11" i="2"/>
  <c r="B84" i="6" s="1"/>
  <c r="R26" i="2"/>
  <c r="B99" i="6" s="1"/>
  <c r="N21" i="2"/>
  <c r="B46" i="6" s="1"/>
  <c r="L21" i="2"/>
  <c r="B22" i="6" s="1"/>
  <c r="P13" i="2"/>
  <c r="B62" i="6" s="1"/>
  <c r="N12" i="2"/>
  <c r="B37" i="6" s="1"/>
  <c r="P23" i="2"/>
  <c r="B72" i="6" s="1"/>
  <c r="R22" i="2"/>
  <c r="L9" i="2"/>
  <c r="B10" i="6" s="1"/>
  <c r="N18" i="2"/>
  <c r="B43" i="6" s="1"/>
  <c r="R17" i="2"/>
  <c r="B90" i="6" s="1"/>
  <c r="R15" i="2"/>
  <c r="B88" i="6" s="1"/>
  <c r="R12" i="2"/>
  <c r="B85" i="6" s="1"/>
  <c r="P12" i="2"/>
  <c r="B61" i="6" s="1"/>
  <c r="P26" i="2"/>
  <c r="B75" i="6" s="1"/>
  <c r="N24" i="2"/>
  <c r="B49" i="6" s="1"/>
  <c r="L24" i="2"/>
  <c r="B25" i="6" s="1"/>
  <c r="P22" i="2"/>
  <c r="B71" i="6" s="1"/>
  <c r="N20" i="2"/>
  <c r="B45" i="6" s="1"/>
  <c r="L20" i="2"/>
  <c r="B21" i="6" s="1"/>
  <c r="L16" i="2"/>
  <c r="B17" i="6" s="1"/>
  <c r="L15" i="2"/>
  <c r="B16" i="6" s="1"/>
  <c r="R9" i="2"/>
  <c r="B82" i="6" s="1"/>
  <c r="N8" i="2"/>
  <c r="B33" i="6" s="1"/>
  <c r="L8" i="2"/>
  <c r="B9" i="6" s="1"/>
  <c r="R5" i="2"/>
  <c r="B78" i="6" s="1"/>
  <c r="N4" i="2"/>
  <c r="B29" i="6" s="1"/>
  <c r="L4" i="2"/>
  <c r="B5" i="6" s="1"/>
  <c r="R3" i="2"/>
  <c r="R16" i="2"/>
  <c r="B89" i="6" s="1"/>
  <c r="P16" i="2"/>
  <c r="B65" i="6" s="1"/>
  <c r="P14" i="2"/>
  <c r="B63" i="6" s="1"/>
  <c r="P11" i="2"/>
  <c r="B60" i="6" s="1"/>
  <c r="N11" i="2"/>
  <c r="B36" i="6" s="1"/>
  <c r="P25" i="2"/>
  <c r="B74" i="6" s="1"/>
  <c r="N23" i="2"/>
  <c r="B48" i="6" s="1"/>
  <c r="L23" i="2"/>
  <c r="B24" i="6" s="1"/>
  <c r="P21" i="2"/>
  <c r="B70" i="6" s="1"/>
  <c r="N19" i="2"/>
  <c r="B44" i="6" s="1"/>
  <c r="L19" i="2"/>
  <c r="B20" i="6" s="1"/>
  <c r="L5" i="2"/>
  <c r="B6" i="6" s="1"/>
  <c r="N3" i="2"/>
  <c r="B28" i="6" s="1"/>
  <c r="L18" i="2"/>
  <c r="B19" i="6" s="1"/>
  <c r="L12" i="2"/>
  <c r="B13" i="6" s="1"/>
  <c r="L11" i="2"/>
  <c r="B12" i="6" s="1"/>
  <c r="R8" i="2"/>
  <c r="B81" i="6" s="1"/>
  <c r="N7" i="2"/>
  <c r="B32" i="6" s="1"/>
  <c r="L7" i="2"/>
  <c r="B8" i="6" s="1"/>
  <c r="P18" i="2"/>
  <c r="B67" i="6" s="1"/>
  <c r="P15" i="2"/>
  <c r="B64" i="6" s="1"/>
  <c r="N15" i="2"/>
  <c r="B40" i="6" s="1"/>
  <c r="N13" i="2"/>
  <c r="N26" i="2"/>
  <c r="B51" i="6" s="1"/>
  <c r="L26" i="2"/>
  <c r="B27" i="6" s="1"/>
  <c r="P24" i="2"/>
  <c r="B73" i="6" s="1"/>
  <c r="N22" i="2"/>
  <c r="B47" i="6" s="1"/>
  <c r="L22" i="2"/>
  <c r="B23" i="6" s="1"/>
  <c r="P20" i="2"/>
  <c r="B69" i="6" s="1"/>
  <c r="B95" i="6" l="1"/>
  <c r="B38" i="6"/>
  <c r="B76" i="6"/>
  <c r="R4" i="2" l="1"/>
  <c r="B77" i="6" l="1"/>
  <c r="L1" i="6" s="1"/>
  <c r="L16" i="6" s="1"/>
  <c r="J10" i="2"/>
  <c r="J11" i="2"/>
  <c r="J9" i="2"/>
  <c r="J5" i="2"/>
  <c r="J7" i="2"/>
  <c r="J4" i="2"/>
  <c r="J8" i="2"/>
  <c r="J6" i="2"/>
  <c r="J3" i="2"/>
  <c r="L79" i="6"/>
  <c r="L95" i="6"/>
  <c r="L65" i="6"/>
  <c r="L88" i="6"/>
  <c r="L30" i="6"/>
  <c r="L73" i="6"/>
  <c r="L57" i="6"/>
  <c r="L96" i="6"/>
  <c r="L80" i="6"/>
  <c r="L72" i="6"/>
  <c r="L5" i="6"/>
  <c r="L10" i="6"/>
  <c r="L18" i="6"/>
  <c r="L4" i="6"/>
  <c r="L8" i="6"/>
  <c r="L9" i="6"/>
  <c r="L17" i="6"/>
  <c r="L21" i="6"/>
  <c r="L25" i="6"/>
  <c r="L33" i="6"/>
  <c r="L37" i="6"/>
  <c r="L11" i="6"/>
  <c r="L32" i="6"/>
  <c r="L35" i="6"/>
  <c r="L38" i="6"/>
  <c r="L46" i="6"/>
  <c r="L50" i="6"/>
  <c r="L6" i="6"/>
  <c r="L12" i="6"/>
  <c r="L28" i="6"/>
  <c r="L40" i="6"/>
  <c r="L54" i="6"/>
  <c r="L55" i="6"/>
  <c r="L59" i="6"/>
  <c r="L67" i="6"/>
  <c r="L71" i="6"/>
  <c r="L75" i="6"/>
  <c r="L82" i="6"/>
  <c r="L86" i="6"/>
  <c r="L90" i="6"/>
  <c r="L98" i="6"/>
  <c r="L20" i="6"/>
  <c r="L27" i="6"/>
  <c r="L41" i="6"/>
  <c r="L44" i="6"/>
  <c r="L47" i="6"/>
  <c r="L62" i="6"/>
  <c r="L66" i="6"/>
  <c r="L70" i="6"/>
  <c r="L77" i="6"/>
  <c r="L81" i="6"/>
  <c r="L85" i="6"/>
  <c r="L93" i="6"/>
  <c r="L97" i="6"/>
  <c r="L92" i="6"/>
  <c r="F1" i="6"/>
  <c r="J1" i="6"/>
  <c r="E1" i="6"/>
  <c r="I1" i="6"/>
  <c r="K1" i="6"/>
  <c r="G1" i="6"/>
  <c r="D1" i="6"/>
  <c r="H1" i="6"/>
  <c r="L69" i="6"/>
  <c r="L61" i="6"/>
  <c r="L48" i="6"/>
  <c r="L26" i="6"/>
  <c r="L15" i="6"/>
  <c r="L99" i="6"/>
  <c r="L83" i="6"/>
  <c r="L76" i="6"/>
  <c r="L68" i="6"/>
  <c r="L49" i="6"/>
  <c r="L24" i="6"/>
  <c r="P2" i="2"/>
  <c r="D2" i="2"/>
  <c r="F2" i="2" s="1"/>
  <c r="H2" i="2" s="1"/>
  <c r="N2" i="2"/>
  <c r="L2" i="2"/>
  <c r="R2" i="2"/>
  <c r="L60" i="6" l="1"/>
  <c r="L91" i="6"/>
  <c r="L34" i="6"/>
  <c r="L84" i="6"/>
  <c r="L89" i="6"/>
  <c r="L74" i="6"/>
  <c r="L58" i="6"/>
  <c r="L31" i="6"/>
  <c r="L94" i="6"/>
  <c r="L78" i="6"/>
  <c r="L63" i="6"/>
  <c r="L43" i="6"/>
  <c r="L7" i="6"/>
  <c r="L42" i="6"/>
  <c r="L19" i="6"/>
  <c r="L29" i="6"/>
  <c r="L13" i="6"/>
  <c r="L22" i="6"/>
  <c r="L39" i="6"/>
  <c r="L45" i="6"/>
  <c r="L64" i="6"/>
  <c r="L52" i="6"/>
  <c r="L14" i="6"/>
  <c r="L56" i="6"/>
  <c r="L23" i="6"/>
  <c r="L87" i="6"/>
  <c r="L36" i="6"/>
  <c r="L53" i="6"/>
  <c r="D5" i="6"/>
  <c r="D9" i="6"/>
  <c r="D10" i="6"/>
  <c r="D14" i="6"/>
  <c r="D18" i="6"/>
  <c r="D22" i="6"/>
  <c r="D4" i="6"/>
  <c r="D8" i="6"/>
  <c r="D13" i="6"/>
  <c r="D17" i="6"/>
  <c r="D21" i="6"/>
  <c r="D25" i="6"/>
  <c r="D29" i="6"/>
  <c r="D33" i="6"/>
  <c r="D37" i="6"/>
  <c r="D11" i="6"/>
  <c r="D19" i="6"/>
  <c r="D27" i="6"/>
  <c r="D30" i="6"/>
  <c r="D42" i="6"/>
  <c r="D46" i="6"/>
  <c r="D50" i="6"/>
  <c r="D55" i="6"/>
  <c r="D20" i="6"/>
  <c r="D28" i="6"/>
  <c r="D32" i="6"/>
  <c r="D36" i="6"/>
  <c r="D45" i="6"/>
  <c r="D48" i="6"/>
  <c r="D52" i="6"/>
  <c r="D59" i="6"/>
  <c r="D63" i="6"/>
  <c r="D67" i="6"/>
  <c r="D71" i="6"/>
  <c r="D75" i="6"/>
  <c r="D78" i="6"/>
  <c r="D82" i="6"/>
  <c r="D86" i="6"/>
  <c r="D90" i="6"/>
  <c r="D94" i="6"/>
  <c r="D98" i="6"/>
  <c r="D15" i="6"/>
  <c r="D16" i="6"/>
  <c r="D31" i="6"/>
  <c r="D35" i="6"/>
  <c r="D39" i="6"/>
  <c r="D49" i="6"/>
  <c r="D53" i="6"/>
  <c r="D58" i="6"/>
  <c r="D62" i="6"/>
  <c r="D66" i="6"/>
  <c r="D70" i="6"/>
  <c r="D74" i="6"/>
  <c r="D77" i="6"/>
  <c r="D81" i="6"/>
  <c r="D85" i="6"/>
  <c r="D89" i="6"/>
  <c r="D93" i="6"/>
  <c r="D97" i="6"/>
  <c r="D6" i="6"/>
  <c r="D7" i="6"/>
  <c r="D44" i="6"/>
  <c r="D60" i="6"/>
  <c r="D68" i="6"/>
  <c r="D76" i="6"/>
  <c r="D83" i="6"/>
  <c r="D91" i="6"/>
  <c r="D99" i="6"/>
  <c r="D23" i="6"/>
  <c r="D38" i="6"/>
  <c r="D43" i="6"/>
  <c r="D61" i="6"/>
  <c r="D69" i="6"/>
  <c r="D84" i="6"/>
  <c r="D92" i="6"/>
  <c r="D12" i="6"/>
  <c r="D64" i="6"/>
  <c r="D26" i="6"/>
  <c r="D41" i="6"/>
  <c r="D47" i="6"/>
  <c r="D56" i="6"/>
  <c r="D34" i="6"/>
  <c r="D65" i="6"/>
  <c r="D79" i="6"/>
  <c r="D95" i="6"/>
  <c r="D88" i="6"/>
  <c r="D24" i="6"/>
  <c r="D40" i="6"/>
  <c r="D54" i="6"/>
  <c r="D57" i="6"/>
  <c r="D73" i="6"/>
  <c r="D87" i="6"/>
  <c r="D72" i="6"/>
  <c r="D80" i="6"/>
  <c r="D96" i="6"/>
  <c r="E4" i="6"/>
  <c r="E8" i="6"/>
  <c r="E13" i="6"/>
  <c r="E17" i="6"/>
  <c r="E21" i="6"/>
  <c r="E25" i="6"/>
  <c r="E7" i="6"/>
  <c r="E12" i="6"/>
  <c r="E16" i="6"/>
  <c r="E20" i="6"/>
  <c r="E24" i="6"/>
  <c r="E28" i="6"/>
  <c r="E32" i="6"/>
  <c r="E36" i="6"/>
  <c r="E9" i="6"/>
  <c r="E10" i="6"/>
  <c r="E18" i="6"/>
  <c r="E31" i="6"/>
  <c r="E34" i="6"/>
  <c r="E37" i="6"/>
  <c r="E41" i="6"/>
  <c r="E45" i="6"/>
  <c r="E49" i="6"/>
  <c r="E54" i="6"/>
  <c r="E14" i="6"/>
  <c r="E15" i="6"/>
  <c r="E35" i="6"/>
  <c r="E39" i="6"/>
  <c r="E42" i="6"/>
  <c r="E53" i="6"/>
  <c r="E58" i="6"/>
  <c r="E62" i="6"/>
  <c r="E66" i="6"/>
  <c r="E70" i="6"/>
  <c r="E74" i="6"/>
  <c r="E77" i="6"/>
  <c r="E81" i="6"/>
  <c r="E85" i="6"/>
  <c r="E89" i="6"/>
  <c r="E93" i="6"/>
  <c r="E97" i="6"/>
  <c r="E22" i="6"/>
  <c r="E23" i="6"/>
  <c r="E27" i="6"/>
  <c r="E38" i="6"/>
  <c r="E40" i="6"/>
  <c r="E43" i="6"/>
  <c r="E46" i="6"/>
  <c r="E57" i="6"/>
  <c r="E61" i="6"/>
  <c r="E65" i="6"/>
  <c r="E69" i="6"/>
  <c r="E73" i="6"/>
  <c r="E80" i="6"/>
  <c r="E84" i="6"/>
  <c r="E88" i="6"/>
  <c r="E92" i="6"/>
  <c r="E96" i="6"/>
  <c r="E6" i="6"/>
  <c r="E33" i="6"/>
  <c r="E52" i="6"/>
  <c r="E59" i="6"/>
  <c r="E67" i="6"/>
  <c r="E75" i="6"/>
  <c r="E82" i="6"/>
  <c r="E90" i="6"/>
  <c r="E98" i="6"/>
  <c r="E11" i="6"/>
  <c r="E30" i="6"/>
  <c r="E44" i="6"/>
  <c r="E50" i="6"/>
  <c r="E60" i="6"/>
  <c r="E68" i="6"/>
  <c r="E76" i="6"/>
  <c r="E83" i="6"/>
  <c r="E91" i="6"/>
  <c r="E99" i="6"/>
  <c r="E19" i="6"/>
  <c r="E29" i="6"/>
  <c r="E48" i="6"/>
  <c r="E55" i="6"/>
  <c r="E63" i="6"/>
  <c r="E47" i="6"/>
  <c r="E56" i="6"/>
  <c r="E72" i="6"/>
  <c r="E86" i="6"/>
  <c r="E71" i="6"/>
  <c r="E79" i="6"/>
  <c r="E95" i="6"/>
  <c r="E5" i="6"/>
  <c r="E64" i="6"/>
  <c r="E78" i="6"/>
  <c r="E94" i="6"/>
  <c r="E26" i="6"/>
  <c r="E87" i="6"/>
  <c r="G6" i="6"/>
  <c r="G11" i="6"/>
  <c r="G15" i="6"/>
  <c r="G19" i="6"/>
  <c r="G23" i="6"/>
  <c r="G5" i="6"/>
  <c r="G9" i="6"/>
  <c r="G10" i="6"/>
  <c r="G14" i="6"/>
  <c r="G18" i="6"/>
  <c r="G22" i="6"/>
  <c r="G26" i="6"/>
  <c r="G30" i="6"/>
  <c r="G34" i="6"/>
  <c r="G38" i="6"/>
  <c r="G7" i="6"/>
  <c r="G16" i="6"/>
  <c r="G24" i="6"/>
  <c r="G29" i="6"/>
  <c r="G32" i="6"/>
  <c r="G35" i="6"/>
  <c r="G39" i="6"/>
  <c r="G43" i="6"/>
  <c r="G47" i="6"/>
  <c r="G52" i="6"/>
  <c r="G4" i="6"/>
  <c r="G27" i="6"/>
  <c r="G31" i="6"/>
  <c r="G40" i="6"/>
  <c r="G50" i="6"/>
  <c r="G54" i="6"/>
  <c r="G56" i="6"/>
  <c r="G60" i="6"/>
  <c r="G64" i="6"/>
  <c r="G68" i="6"/>
  <c r="G72" i="6"/>
  <c r="G76" i="6"/>
  <c r="G79" i="6"/>
  <c r="G83" i="6"/>
  <c r="G87" i="6"/>
  <c r="G91" i="6"/>
  <c r="G95" i="6"/>
  <c r="G99" i="6"/>
  <c r="G17" i="6"/>
  <c r="G33" i="6"/>
  <c r="G37" i="6"/>
  <c r="G41" i="6"/>
  <c r="G44" i="6"/>
  <c r="G55" i="6"/>
  <c r="G59" i="6"/>
  <c r="G63" i="6"/>
  <c r="G67" i="6"/>
  <c r="G71" i="6"/>
  <c r="G75" i="6"/>
  <c r="G78" i="6"/>
  <c r="G82" i="6"/>
  <c r="G86" i="6"/>
  <c r="G90" i="6"/>
  <c r="G94" i="6"/>
  <c r="G98" i="6"/>
  <c r="G8" i="6"/>
  <c r="G20" i="6"/>
  <c r="G28" i="6"/>
  <c r="G46" i="6"/>
  <c r="G53" i="6"/>
  <c r="G57" i="6"/>
  <c r="G65" i="6"/>
  <c r="G73" i="6"/>
  <c r="G80" i="6"/>
  <c r="G88" i="6"/>
  <c r="G96" i="6"/>
  <c r="G13" i="6"/>
  <c r="G25" i="6"/>
  <c r="G36" i="6"/>
  <c r="G45" i="6"/>
  <c r="G58" i="6"/>
  <c r="G66" i="6"/>
  <c r="G74" i="6"/>
  <c r="G81" i="6"/>
  <c r="G89" i="6"/>
  <c r="G97" i="6"/>
  <c r="G21" i="6"/>
  <c r="G49" i="6"/>
  <c r="G61" i="6"/>
  <c r="G12" i="6"/>
  <c r="G42" i="6"/>
  <c r="G62" i="6"/>
  <c r="G70" i="6"/>
  <c r="G84" i="6"/>
  <c r="G48" i="6"/>
  <c r="G69" i="6"/>
  <c r="G77" i="6"/>
  <c r="G93" i="6"/>
  <c r="G92" i="6"/>
  <c r="G85" i="6"/>
  <c r="J7" i="6"/>
  <c r="J12" i="6"/>
  <c r="J16" i="6"/>
  <c r="J20" i="6"/>
  <c r="J24" i="6"/>
  <c r="J6" i="6"/>
  <c r="J11" i="6"/>
  <c r="J15" i="6"/>
  <c r="J19" i="6"/>
  <c r="J23" i="6"/>
  <c r="J27" i="6"/>
  <c r="J31" i="6"/>
  <c r="J35" i="6"/>
  <c r="J4" i="6"/>
  <c r="J13" i="6"/>
  <c r="J21" i="6"/>
  <c r="J34" i="6"/>
  <c r="J37" i="6"/>
  <c r="J40" i="6"/>
  <c r="J44" i="6"/>
  <c r="J48" i="6"/>
  <c r="J53" i="6"/>
  <c r="J5" i="6"/>
  <c r="J17" i="6"/>
  <c r="J18" i="6"/>
  <c r="J25" i="6"/>
  <c r="J29" i="6"/>
  <c r="J33" i="6"/>
  <c r="J39" i="6"/>
  <c r="J42" i="6"/>
  <c r="J45" i="6"/>
  <c r="J57" i="6"/>
  <c r="J61" i="6"/>
  <c r="J65" i="6"/>
  <c r="J69" i="6"/>
  <c r="J73" i="6"/>
  <c r="J80" i="6"/>
  <c r="J84" i="6"/>
  <c r="J88" i="6"/>
  <c r="J92" i="6"/>
  <c r="J96" i="6"/>
  <c r="J28" i="6"/>
  <c r="J32" i="6"/>
  <c r="J36" i="6"/>
  <c r="J43" i="6"/>
  <c r="J46" i="6"/>
  <c r="J49" i="6"/>
  <c r="J56" i="6"/>
  <c r="J60" i="6"/>
  <c r="J64" i="6"/>
  <c r="J68" i="6"/>
  <c r="J72" i="6"/>
  <c r="J76" i="6"/>
  <c r="J79" i="6"/>
  <c r="J83" i="6"/>
  <c r="J87" i="6"/>
  <c r="J91" i="6"/>
  <c r="J95" i="6"/>
  <c r="J99" i="6"/>
  <c r="J9" i="6"/>
  <c r="J10" i="6"/>
  <c r="J22" i="6"/>
  <c r="J26" i="6"/>
  <c r="J41" i="6"/>
  <c r="J62" i="6"/>
  <c r="J70" i="6"/>
  <c r="J77" i="6"/>
  <c r="J85" i="6"/>
  <c r="J93" i="6"/>
  <c r="J47" i="6"/>
  <c r="J54" i="6"/>
  <c r="J55" i="6"/>
  <c r="J63" i="6"/>
  <c r="J71" i="6"/>
  <c r="J78" i="6"/>
  <c r="J86" i="6"/>
  <c r="J94" i="6"/>
  <c r="J8" i="6"/>
  <c r="J30" i="6"/>
  <c r="J52" i="6"/>
  <c r="J58" i="6"/>
  <c r="J38" i="6"/>
  <c r="J75" i="6"/>
  <c r="J89" i="6"/>
  <c r="J50" i="6"/>
  <c r="J66" i="6"/>
  <c r="J14" i="6"/>
  <c r="J59" i="6"/>
  <c r="J74" i="6"/>
  <c r="J82" i="6"/>
  <c r="J98" i="6"/>
  <c r="J67" i="6"/>
  <c r="J81" i="6"/>
  <c r="J97" i="6"/>
  <c r="J90" i="6"/>
  <c r="K6" i="6"/>
  <c r="K11" i="6"/>
  <c r="K15" i="6"/>
  <c r="K19" i="6"/>
  <c r="K23" i="6"/>
  <c r="K5" i="6"/>
  <c r="K10" i="6"/>
  <c r="K14" i="6"/>
  <c r="K18" i="6"/>
  <c r="K22" i="6"/>
  <c r="K26" i="6"/>
  <c r="K30" i="6"/>
  <c r="K34" i="6"/>
  <c r="K38" i="6"/>
  <c r="K12" i="6"/>
  <c r="K20" i="6"/>
  <c r="K25" i="6"/>
  <c r="K28" i="6"/>
  <c r="K31" i="6"/>
  <c r="K39" i="6"/>
  <c r="K43" i="6"/>
  <c r="K47" i="6"/>
  <c r="K52" i="6"/>
  <c r="K24" i="6"/>
  <c r="K32" i="6"/>
  <c r="K36" i="6"/>
  <c r="K46" i="6"/>
  <c r="K49" i="6"/>
  <c r="K53" i="6"/>
  <c r="K56" i="6"/>
  <c r="K60" i="6"/>
  <c r="K64" i="6"/>
  <c r="K68" i="6"/>
  <c r="K72" i="6"/>
  <c r="K76" i="6"/>
  <c r="K79" i="6"/>
  <c r="K83" i="6"/>
  <c r="K87" i="6"/>
  <c r="K91" i="6"/>
  <c r="K95" i="6"/>
  <c r="K99" i="6"/>
  <c r="K7" i="6"/>
  <c r="K8" i="6"/>
  <c r="K13" i="6"/>
  <c r="K35" i="6"/>
  <c r="K40" i="6"/>
  <c r="K50" i="6"/>
  <c r="K54" i="6"/>
  <c r="K55" i="6"/>
  <c r="K59" i="6"/>
  <c r="K63" i="6"/>
  <c r="K67" i="6"/>
  <c r="K71" i="6"/>
  <c r="K75" i="6"/>
  <c r="K78" i="6"/>
  <c r="K82" i="6"/>
  <c r="K86" i="6"/>
  <c r="K90" i="6"/>
  <c r="K94" i="6"/>
  <c r="K98" i="6"/>
  <c r="K4" i="6"/>
  <c r="K17" i="6"/>
  <c r="K29" i="6"/>
  <c r="K37" i="6"/>
  <c r="K42" i="6"/>
  <c r="K48" i="6"/>
  <c r="K61" i="6"/>
  <c r="K69" i="6"/>
  <c r="K84" i="6"/>
  <c r="K92" i="6"/>
  <c r="K41" i="6"/>
  <c r="K62" i="6"/>
  <c r="K70" i="6"/>
  <c r="K77" i="6"/>
  <c r="K85" i="6"/>
  <c r="K93" i="6"/>
  <c r="K16" i="6"/>
  <c r="K57" i="6"/>
  <c r="K33" i="6"/>
  <c r="K45" i="6"/>
  <c r="K21" i="6"/>
  <c r="K27" i="6"/>
  <c r="K58" i="6"/>
  <c r="K66" i="6"/>
  <c r="K80" i="6"/>
  <c r="K96" i="6"/>
  <c r="K73" i="6"/>
  <c r="K65" i="6"/>
  <c r="K89" i="6"/>
  <c r="K44" i="6"/>
  <c r="K74" i="6"/>
  <c r="K88" i="6"/>
  <c r="K9" i="6"/>
  <c r="K81" i="6"/>
  <c r="K97" i="6"/>
  <c r="F7" i="6"/>
  <c r="F12" i="6"/>
  <c r="F16" i="6"/>
  <c r="F20" i="6"/>
  <c r="F24" i="6"/>
  <c r="F6" i="6"/>
  <c r="F11" i="6"/>
  <c r="F15" i="6"/>
  <c r="F19" i="6"/>
  <c r="F23" i="6"/>
  <c r="F27" i="6"/>
  <c r="F31" i="6"/>
  <c r="F35" i="6"/>
  <c r="F8" i="6"/>
  <c r="F17" i="6"/>
  <c r="F25" i="6"/>
  <c r="F28" i="6"/>
  <c r="F38" i="6"/>
  <c r="F40" i="6"/>
  <c r="F44" i="6"/>
  <c r="F48" i="6"/>
  <c r="F53" i="6"/>
  <c r="F9" i="6"/>
  <c r="F21" i="6"/>
  <c r="F22" i="6"/>
  <c r="F43" i="6"/>
  <c r="F46" i="6"/>
  <c r="F49" i="6"/>
  <c r="F57" i="6"/>
  <c r="F61" i="6"/>
  <c r="F65" i="6"/>
  <c r="F69" i="6"/>
  <c r="F73" i="6"/>
  <c r="F80" i="6"/>
  <c r="F84" i="6"/>
  <c r="F88" i="6"/>
  <c r="F92" i="6"/>
  <c r="F96" i="6"/>
  <c r="F4" i="6"/>
  <c r="F5" i="6"/>
  <c r="F10" i="6"/>
  <c r="F26" i="6"/>
  <c r="F30" i="6"/>
  <c r="F34" i="6"/>
  <c r="F47" i="6"/>
  <c r="F50" i="6"/>
  <c r="F54" i="6"/>
  <c r="F56" i="6"/>
  <c r="F60" i="6"/>
  <c r="F64" i="6"/>
  <c r="F68" i="6"/>
  <c r="F72" i="6"/>
  <c r="F76" i="6"/>
  <c r="F79" i="6"/>
  <c r="F83" i="6"/>
  <c r="F87" i="6"/>
  <c r="F91" i="6"/>
  <c r="F95" i="6"/>
  <c r="F99" i="6"/>
  <c r="F13" i="6"/>
  <c r="F36" i="6"/>
  <c r="F39" i="6"/>
  <c r="F45" i="6"/>
  <c r="F58" i="6"/>
  <c r="F66" i="6"/>
  <c r="F74" i="6"/>
  <c r="F81" i="6"/>
  <c r="F89" i="6"/>
  <c r="F97" i="6"/>
  <c r="F18" i="6"/>
  <c r="F33" i="6"/>
  <c r="F52" i="6"/>
  <c r="F59" i="6"/>
  <c r="F67" i="6"/>
  <c r="F75" i="6"/>
  <c r="F82" i="6"/>
  <c r="F90" i="6"/>
  <c r="F98" i="6"/>
  <c r="F14" i="6"/>
  <c r="F32" i="6"/>
  <c r="F42" i="6"/>
  <c r="F62" i="6"/>
  <c r="F77" i="6"/>
  <c r="F93" i="6"/>
  <c r="F70" i="6"/>
  <c r="F78" i="6"/>
  <c r="F29" i="6"/>
  <c r="F63" i="6"/>
  <c r="F86" i="6"/>
  <c r="F71" i="6"/>
  <c r="F85" i="6"/>
  <c r="F37" i="6"/>
  <c r="F41" i="6"/>
  <c r="F55" i="6"/>
  <c r="F94" i="6"/>
  <c r="H5" i="6"/>
  <c r="H14" i="6"/>
  <c r="H18" i="6"/>
  <c r="H22" i="6"/>
  <c r="H13" i="6"/>
  <c r="H17" i="6"/>
  <c r="H21" i="6"/>
  <c r="H25" i="6"/>
  <c r="H29" i="6"/>
  <c r="H33" i="6"/>
  <c r="H37" i="6"/>
  <c r="H15" i="6"/>
  <c r="H23" i="6"/>
  <c r="H26" i="6"/>
  <c r="H36" i="6"/>
  <c r="H42" i="6"/>
  <c r="H46" i="6"/>
  <c r="H50" i="6"/>
  <c r="H16" i="6"/>
  <c r="H30" i="6"/>
  <c r="H34" i="6"/>
  <c r="H38" i="6"/>
  <c r="H41" i="6"/>
  <c r="H44" i="6"/>
  <c r="H47" i="6"/>
  <c r="H55" i="6"/>
  <c r="H59" i="6"/>
  <c r="H63" i="6"/>
  <c r="H67" i="6"/>
  <c r="H71" i="6"/>
  <c r="H75" i="6"/>
  <c r="H78" i="6"/>
  <c r="H82" i="6"/>
  <c r="H86" i="6"/>
  <c r="H90" i="6"/>
  <c r="H94" i="6"/>
  <c r="H98" i="6"/>
  <c r="H11" i="6"/>
  <c r="H12" i="6"/>
  <c r="H24" i="6"/>
  <c r="H45" i="6"/>
  <c r="H48" i="6"/>
  <c r="H52" i="6"/>
  <c r="H58" i="6"/>
  <c r="H62" i="6"/>
  <c r="H66" i="6"/>
  <c r="H70" i="6"/>
  <c r="H74" i="6"/>
  <c r="H77" i="6"/>
  <c r="H81" i="6"/>
  <c r="H85" i="6"/>
  <c r="H89" i="6"/>
  <c r="H93" i="6"/>
  <c r="H97" i="6"/>
  <c r="H31" i="6"/>
  <c r="H40" i="6"/>
  <c r="H54" i="6"/>
  <c r="H56" i="6"/>
  <c r="H64" i="6"/>
  <c r="H72" i="6"/>
  <c r="H79" i="6"/>
  <c r="H87" i="6"/>
  <c r="H95" i="6"/>
  <c r="H20" i="6"/>
  <c r="H28" i="6"/>
  <c r="H39" i="6"/>
  <c r="H53" i="6"/>
  <c r="H57" i="6"/>
  <c r="H65" i="6"/>
  <c r="H73" i="6"/>
  <c r="H80" i="6"/>
  <c r="H88" i="6"/>
  <c r="H96" i="6"/>
  <c r="H27" i="6"/>
  <c r="H35" i="6"/>
  <c r="H43" i="6"/>
  <c r="H60" i="6"/>
  <c r="H91" i="6"/>
  <c r="H32" i="6"/>
  <c r="H61" i="6"/>
  <c r="H76" i="6"/>
  <c r="H84" i="6"/>
  <c r="H49" i="6"/>
  <c r="H69" i="6"/>
  <c r="H83" i="6"/>
  <c r="H99" i="6"/>
  <c r="H19" i="6"/>
  <c r="H68" i="6"/>
  <c r="H92" i="6"/>
  <c r="I4" i="6"/>
  <c r="I8" i="6"/>
  <c r="I9" i="6"/>
  <c r="I13" i="6"/>
  <c r="I17" i="6"/>
  <c r="I21" i="6"/>
  <c r="I7" i="6"/>
  <c r="I12" i="6"/>
  <c r="I16" i="6"/>
  <c r="I20" i="6"/>
  <c r="I24" i="6"/>
  <c r="I28" i="6"/>
  <c r="I32" i="6"/>
  <c r="I36" i="6"/>
  <c r="I5" i="6"/>
  <c r="I14" i="6"/>
  <c r="I22" i="6"/>
  <c r="I27" i="6"/>
  <c r="I30" i="6"/>
  <c r="I33" i="6"/>
  <c r="I41" i="6"/>
  <c r="I45" i="6"/>
  <c r="I49" i="6"/>
  <c r="I54" i="6"/>
  <c r="I10" i="6"/>
  <c r="I11" i="6"/>
  <c r="I23" i="6"/>
  <c r="I26" i="6"/>
  <c r="I37" i="6"/>
  <c r="I48" i="6"/>
  <c r="I52" i="6"/>
  <c r="I58" i="6"/>
  <c r="I62" i="6"/>
  <c r="I66" i="6"/>
  <c r="I70" i="6"/>
  <c r="I74" i="6"/>
  <c r="I77" i="6"/>
  <c r="I81" i="6"/>
  <c r="I85" i="6"/>
  <c r="I89" i="6"/>
  <c r="I93" i="6"/>
  <c r="I97" i="6"/>
  <c r="I6" i="6"/>
  <c r="I18" i="6"/>
  <c r="I19" i="6"/>
  <c r="I25" i="6"/>
  <c r="I29" i="6"/>
  <c r="I39" i="6"/>
  <c r="I42" i="6"/>
  <c r="I53" i="6"/>
  <c r="I57" i="6"/>
  <c r="I61" i="6"/>
  <c r="I65" i="6"/>
  <c r="I69" i="6"/>
  <c r="I73" i="6"/>
  <c r="I80" i="6"/>
  <c r="I84" i="6"/>
  <c r="I88" i="6"/>
  <c r="I92" i="6"/>
  <c r="I96" i="6"/>
  <c r="I15" i="6"/>
  <c r="I34" i="6"/>
  <c r="I47" i="6"/>
  <c r="I55" i="6"/>
  <c r="I63" i="6"/>
  <c r="I71" i="6"/>
  <c r="I78" i="6"/>
  <c r="I86" i="6"/>
  <c r="I94" i="6"/>
  <c r="I31" i="6"/>
  <c r="I40" i="6"/>
  <c r="I46" i="6"/>
  <c r="I56" i="6"/>
  <c r="I64" i="6"/>
  <c r="I72" i="6"/>
  <c r="I79" i="6"/>
  <c r="I87" i="6"/>
  <c r="I95" i="6"/>
  <c r="I38" i="6"/>
  <c r="I44" i="6"/>
  <c r="I50" i="6"/>
  <c r="I59" i="6"/>
  <c r="I68" i="6"/>
  <c r="I82" i="6"/>
  <c r="I98" i="6"/>
  <c r="I90" i="6"/>
  <c r="I83" i="6"/>
  <c r="I99" i="6"/>
  <c r="I35" i="6"/>
  <c r="I43" i="6"/>
  <c r="I67" i="6"/>
  <c r="I91" i="6"/>
  <c r="I60" i="6"/>
  <c r="I76" i="6"/>
  <c r="I7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<sst xmlns="http://schemas.openxmlformats.org/spreadsheetml/2006/main" count="556" uniqueCount="118">
  <si>
    <t>#</t>
  </si>
  <si>
    <t>count</t>
  </si>
  <si>
    <t>gene1</t>
  </si>
  <si>
    <t>gene2</t>
  </si>
  <si>
    <t>gene3</t>
  </si>
  <si>
    <t>1A-1</t>
  </si>
  <si>
    <t>4A-25</t>
  </si>
  <si>
    <t>7A-49</t>
  </si>
  <si>
    <t>10A-73</t>
  </si>
  <si>
    <t>1B-2</t>
  </si>
  <si>
    <t>4B-26</t>
  </si>
  <si>
    <t>7B-50</t>
  </si>
  <si>
    <t>10B-74</t>
  </si>
  <si>
    <t>1C-3</t>
  </si>
  <si>
    <t>4C-27</t>
  </si>
  <si>
    <t>7C-51</t>
  </si>
  <si>
    <t>10C-75</t>
  </si>
  <si>
    <t>1D-4</t>
  </si>
  <si>
    <t>4D-28</t>
  </si>
  <si>
    <t>7D-52</t>
  </si>
  <si>
    <t>10D-76</t>
  </si>
  <si>
    <t>1F-6</t>
  </si>
  <si>
    <t>4F-30</t>
  </si>
  <si>
    <t>7F-54</t>
  </si>
  <si>
    <t>10F-78</t>
  </si>
  <si>
    <t>1G-7</t>
  </si>
  <si>
    <t>4G-31</t>
  </si>
  <si>
    <t>7G-55</t>
  </si>
  <si>
    <t>10G-79</t>
  </si>
  <si>
    <t>1H-8</t>
  </si>
  <si>
    <t>4H-32</t>
  </si>
  <si>
    <t>7H-56</t>
  </si>
  <si>
    <t>10H-80</t>
  </si>
  <si>
    <t>2A-9</t>
  </si>
  <si>
    <t>5A-33</t>
  </si>
  <si>
    <t>8A-57</t>
  </si>
  <si>
    <t>11A-81</t>
  </si>
  <si>
    <t>2B-10</t>
  </si>
  <si>
    <t>5B-34</t>
  </si>
  <si>
    <t>8B-58</t>
  </si>
  <si>
    <t>11B-82</t>
  </si>
  <si>
    <t>2C-11</t>
  </si>
  <si>
    <t>5C-35</t>
  </si>
  <si>
    <t>8C-59</t>
  </si>
  <si>
    <t>11C-83</t>
  </si>
  <si>
    <t>2D-12</t>
  </si>
  <si>
    <t>5D-36</t>
  </si>
  <si>
    <t>8D-60</t>
  </si>
  <si>
    <t>11D-84</t>
  </si>
  <si>
    <t>2F-14</t>
  </si>
  <si>
    <t>5F-38</t>
  </si>
  <si>
    <t>8F-62</t>
  </si>
  <si>
    <t>11F-86</t>
  </si>
  <si>
    <t>2G-15</t>
  </si>
  <si>
    <t>5G-39</t>
  </si>
  <si>
    <t>8G-63</t>
  </si>
  <si>
    <t>11G-87</t>
  </si>
  <si>
    <t>2H-16</t>
  </si>
  <si>
    <t>5H-40</t>
  </si>
  <si>
    <t>8H-64</t>
  </si>
  <si>
    <t>11H-88</t>
  </si>
  <si>
    <t>3A-17</t>
  </si>
  <si>
    <t>6A-41</t>
  </si>
  <si>
    <t>9A-65</t>
  </si>
  <si>
    <t>12A-89</t>
  </si>
  <si>
    <t>3B-18</t>
  </si>
  <si>
    <t>6B-42</t>
  </si>
  <si>
    <t>9B-66</t>
  </si>
  <si>
    <t>12B-90</t>
  </si>
  <si>
    <t>3C-19</t>
  </si>
  <si>
    <t>6C-43</t>
  </si>
  <si>
    <t>9C-67</t>
  </si>
  <si>
    <t>12C-91</t>
  </si>
  <si>
    <t>3D-20</t>
  </si>
  <si>
    <t>6D-44</t>
  </si>
  <si>
    <t>9D-68</t>
  </si>
  <si>
    <t>12D-92</t>
  </si>
  <si>
    <t>3F-22</t>
  </si>
  <si>
    <t>6F-46</t>
  </si>
  <si>
    <t>9F-70</t>
  </si>
  <si>
    <t>12F-94</t>
  </si>
  <si>
    <t>3G-23</t>
  </si>
  <si>
    <t>6G-47</t>
  </si>
  <si>
    <t>9G-71</t>
  </si>
  <si>
    <t>12G-95</t>
  </si>
  <si>
    <t>3H-24</t>
  </si>
  <si>
    <t>6H-48</t>
  </si>
  <si>
    <t>9H-72</t>
  </si>
  <si>
    <t>12H-96</t>
  </si>
  <si>
    <t>1E-5</t>
  </si>
  <si>
    <t>2E-13</t>
  </si>
  <si>
    <t>3E-21</t>
  </si>
  <si>
    <t>6E-45</t>
  </si>
  <si>
    <t>9E-69</t>
  </si>
  <si>
    <t>12E-93</t>
  </si>
  <si>
    <t>4E-29</t>
  </si>
  <si>
    <t>7E-53</t>
  </si>
  <si>
    <t>10E-77</t>
  </si>
  <si>
    <t>5E-37</t>
  </si>
  <si>
    <t>8E-61</t>
  </si>
  <si>
    <t>11E-85</t>
  </si>
  <si>
    <t>date:</t>
  </si>
  <si>
    <t>wt</t>
  </si>
  <si>
    <t>het</t>
  </si>
  <si>
    <t>mut</t>
  </si>
  <si>
    <t>N=</t>
  </si>
  <si>
    <t>vvv DO NOT CHANGE vvv</t>
  </si>
  <si>
    <t>vvv USED FOR CALCS vvv</t>
  </si>
  <si>
    <t>Genotyper</t>
  </si>
  <si>
    <t>00</t>
  </si>
  <si>
    <t>01</t>
  </si>
  <si>
    <t>10</t>
  </si>
  <si>
    <t>gene4</t>
  </si>
  <si>
    <t>Genotypes</t>
  </si>
  <si>
    <t>Counts</t>
  </si>
  <si>
    <t>desired genotypes</t>
  </si>
  <si>
    <t>Genotyper updated:</t>
  </si>
  <si>
    <t>MEM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</si>
</sst>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5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theme="1"/>
      </left>
      <right/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rgb="FFFF0000"/>
      </left>
      <right style="thin">
        <color rgb="FFFF0000"/>
      </right>
      <top style="thin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thin">
        <color rgb="FFFF0000"/>
      </left>
      <right style="medium">
        <color rgb="FFFF0000"/>
      </right>
      <top/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1"/>
      </left>
      <right/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rgb="FFFF0000"/>
      </bottom>
      <diagonal/>
    </border>
  </borders>
  <cellStyleXfs count="7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Border="1"/>
    <xf numFmtId="0" fontId="8" fillId="0" borderId="1" xfId="0" applyFont="1" applyBorder="1"/>
    <xf numFmtId="0" fontId="8" fillId="0" borderId="0" xfId="0" applyFont="1"/>
    <xf numFmtId="0" fontId="8" fillId="0" borderId="11" xfId="0" applyFont="1" applyBorder="1"/>
    <xf numFmtId="0" fontId="8" fillId="0" borderId="9" xfId="0" applyFont="1" applyBorder="1"/>
    <xf numFmtId="0" fontId="8" fillId="0" borderId="12" xfId="0" applyFont="1" applyBorder="1"/>
    <xf numFmtId="0" fontId="8" fillId="0" borderId="14" xfId="0" applyFont="1" applyBorder="1"/>
    <xf numFmtId="0" fontId="8" fillId="0" borderId="15" xfId="0" applyFont="1" applyBorder="1"/>
    <xf numFmtId="49" fontId="8" fillId="0" borderId="0" xfId="0" applyNumberFormat="1" applyFont="1" applyAlignment="1">
      <alignment horizontal="center"/>
    </xf>
    <xf numFmtId="0" fontId="0" fillId="0" borderId="0" xfId="0" applyNumberFormat="1"/>
    <xf numFmtId="0" fontId="8" fillId="0" borderId="0" xfId="0" applyNumberFormat="1" applyFont="1"/>
    <xf numFmtId="0" fontId="0" fillId="0" borderId="0" xfId="0" applyAlignment="1">
      <alignment horizontal="center"/>
    </xf>
    <xf numFmtId="0" fontId="8" fillId="0" borderId="17" xfId="0" applyFont="1" applyBorder="1"/>
    <xf numFmtId="0" fontId="8" fillId="0" borderId="18" xfId="0" applyFont="1" applyBorder="1"/>
    <xf numFmtId="0" fontId="6" fillId="0" borderId="8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8" fillId="0" borderId="0" xfId="0" applyNumberFormat="1" applyFont="1" applyAlignment="1">
      <alignment horizontal="center"/>
    </xf>
    <xf numFmtId="0" fontId="0" fillId="0" borderId="0" xfId="0" applyFont="1"/>
    <xf numFmtId="0" fontId="7" fillId="0" borderId="8" xfId="0" applyFont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49" fontId="6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49" fontId="1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19" xfId="0" applyBorder="1"/>
    <xf numFmtId="0" fontId="0" fillId="0" borderId="1" xfId="0" applyBorder="1"/>
    <xf numFmtId="0" fontId="0" fillId="0" borderId="28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9" xfId="0" applyBorder="1"/>
    <xf numFmtId="0" fontId="0" fillId="0" borderId="6" xfId="0" applyBorder="1"/>
    <xf numFmtId="0" fontId="8" fillId="0" borderId="31" xfId="0" applyFont="1" applyBorder="1"/>
    <xf numFmtId="0" fontId="0" fillId="0" borderId="0" xfId="0" applyProtection="1">
      <protection locked="0"/>
    </xf>
    <xf numFmtId="0" fontId="8" fillId="0" borderId="0" xfId="0" applyFont="1" applyBorder="1" applyAlignment="1"/>
    <xf numFmtId="0" fontId="8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27" xfId="0" applyFont="1" applyBorder="1" applyAlignment="1">
      <alignment horizontal="center" wrapText="1"/>
    </xf>
    <xf numFmtId="0" fontId="6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49" fontId="6" fillId="0" borderId="34" xfId="0" applyNumberFormat="1" applyFont="1" applyBorder="1" applyAlignment="1" applyProtection="1">
      <alignment horizontal="center"/>
      <protection locked="0"/>
    </xf>
    <xf numFmtId="49" fontId="6" fillId="0" borderId="36" xfId="0" applyNumberFormat="1" applyFont="1" applyBorder="1" applyAlignment="1" applyProtection="1">
      <alignment horizontal="center"/>
      <protection locked="0"/>
    </xf>
    <xf numFmtId="49" fontId="8" fillId="0" borderId="36" xfId="0" applyNumberFormat="1" applyFont="1" applyBorder="1" applyAlignment="1" applyProtection="1">
      <alignment horizontal="center"/>
      <protection locked="0"/>
    </xf>
    <xf numFmtId="49" fontId="8" fillId="0" borderId="38" xfId="0" applyNumberFormat="1" applyFont="1" applyBorder="1" applyAlignment="1" applyProtection="1">
      <alignment horizontal="center"/>
      <protection locked="0"/>
    </xf>
    <xf numFmtId="0" fontId="6" fillId="0" borderId="40" xfId="0" applyFont="1" applyBorder="1" applyAlignment="1" applyProtection="1">
      <alignment horizontal="center" vertical="center"/>
      <protection locked="0"/>
    </xf>
    <xf numFmtId="0" fontId="11" fillId="0" borderId="41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/>
      <protection locked="0"/>
    </xf>
    <xf numFmtId="0" fontId="4" fillId="0" borderId="45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8" fillId="0" borderId="43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8" fillId="0" borderId="37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>
      <alignment horizontal="center" vertical="center"/>
    </xf>
    <xf numFmtId="0" fontId="6" fillId="0" borderId="46" xfId="0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horizontal="center" vertical="center"/>
    </xf>
    <xf numFmtId="0" fontId="8" fillId="0" borderId="35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>
      <alignment horizontal="center" wrapText="1"/>
    </xf>
    <xf numFmtId="0" fontId="9" fillId="0" borderId="47" xfId="0" applyFont="1" applyBorder="1" applyAlignment="1">
      <alignment horizontal="center" wrapText="1"/>
    </xf>
    <xf numFmtId="49" fontId="7" fillId="0" borderId="14" xfId="0" applyNumberFormat="1" applyFont="1" applyBorder="1" applyAlignment="1">
      <alignment horizontal="center" wrapText="1"/>
    </xf>
    <xf numFmtId="0" fontId="1" fillId="0" borderId="50" xfId="0" applyFont="1" applyBorder="1" applyAlignment="1">
      <alignment horizontal="right"/>
    </xf>
    <xf numFmtId="14" fontId="0" fillId="0" borderId="45" xfId="0" applyNumberFormat="1" applyBorder="1" applyAlignment="1" applyProtection="1">
      <alignment horizontal="center"/>
      <protection locked="0"/>
    </xf>
    <xf numFmtId="0" fontId="0" fillId="0" borderId="51" xfId="0" applyFont="1" applyBorder="1" applyAlignment="1">
      <alignment horizontal="left"/>
    </xf>
    <xf numFmtId="0" fontId="0" fillId="0" borderId="52" xfId="0" applyFont="1" applyBorder="1" applyAlignment="1">
      <alignment horizontal="left"/>
    </xf>
    <xf numFmtId="0" fontId="0" fillId="0" borderId="53" xfId="0" applyFont="1" applyFill="1" applyBorder="1" applyAlignment="1">
      <alignment horizontal="left"/>
    </xf>
    <xf numFmtId="0" fontId="13" fillId="0" borderId="54" xfId="0" quotePrefix="1" applyFont="1" applyBorder="1" applyAlignment="1" applyProtection="1">
      <alignment horizontal="center"/>
      <protection locked="0"/>
    </xf>
    <xf numFmtId="0" fontId="13" fillId="0" borderId="55" xfId="0" quotePrefix="1" applyFont="1" applyBorder="1" applyAlignment="1" applyProtection="1">
      <alignment horizontal="center"/>
      <protection locked="0"/>
    </xf>
    <xf numFmtId="0" fontId="13" fillId="0" borderId="56" xfId="0" quotePrefix="1" applyFon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>
      <alignment horizontal="center"/>
    </xf>
    <xf numFmtId="0" fontId="8" fillId="0" borderId="16" xfId="0" applyFont="1" applyBorder="1" applyAlignment="1"/>
    <xf numFmtId="0" fontId="8" fillId="0" borderId="0" xfId="0" applyFont="1" applyBorder="1" applyAlignment="1">
      <alignment horizontal="center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</xf>
    <xf numFmtId="0" fontId="14" fillId="0" borderId="8" xfId="0" applyFont="1" applyBorder="1" applyAlignment="1" applyProtection="1">
      <alignment horizontal="center" vertical="center"/>
    </xf>
    <xf numFmtId="0" fontId="14" fillId="0" borderId="20" xfId="0" applyFont="1" applyBorder="1" applyAlignment="1" applyProtection="1">
      <alignment horizontal="center" vertical="center"/>
    </xf>
    <xf numFmtId="0" fontId="6" fillId="0" borderId="10" xfId="0" applyFont="1" applyBorder="1" applyAlignment="1" applyProtection="1">
      <alignment horizontal="center" vertical="center"/>
    </xf>
    <xf numFmtId="0" fontId="6" fillId="0" borderId="21" xfId="0" applyFont="1" applyBorder="1" applyAlignment="1" applyProtection="1">
      <alignment horizontal="center" vertical="center"/>
    </xf>
    <xf numFmtId="0" fontId="11" fillId="0" borderId="57" xfId="0" applyFont="1" applyBorder="1" applyAlignment="1">
      <alignment horizontal="center" wrapText="1"/>
    </xf>
    <xf numFmtId="14" fontId="0" fillId="0" borderId="0" xfId="0" applyNumberFormat="1"/>
    <xf numFmtId="0" fontId="8" fillId="0" borderId="0" xfId="0" applyFont="1" applyBorder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8" fillId="0" borderId="16" xfId="0" applyFont="1" applyBorder="1" applyAlignment="1">
      <alignment horizontal="center"/>
    </xf>
    <xf numFmtId="0" fontId="0" fillId="0" borderId="49" xfId="0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0" fontId="12" fillId="0" borderId="48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</cellXfs>
  <cellStyles count="7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Normal" xfId="0" builtinId="0"/>
  </cellStyles>
  <dxfs count="294">
    <dxf>
      <fill>
        <patternFill patternType="darkDown">
          <fgColor theme="0" tint="-0.34998626667073579"/>
          <bgColor rgb="FF66FF5B"/>
        </patternFill>
      </fill>
    </dxf>
    <dxf>
      <font>
        <color theme="1" tint="4.9989318521683403E-2"/>
      </font>
      <fill>
        <patternFill patternType="lightGrid">
          <fgColor theme="0" tint="-0.24994659260841701"/>
          <bgColor theme="9" tint="0.79989013336588644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9" tint="-0.24994659260841701"/>
        </patternFill>
      </fill>
    </dxf>
    <dxf>
      <font>
        <color theme="0"/>
      </font>
      <fill>
        <patternFill patternType="darkUp">
          <fgColor theme="0" tint="-0.34998626667073579"/>
          <bgColor theme="7" tint="-0.24994659260841701"/>
        </patternFill>
      </fill>
    </dxf>
    <dxf>
      <font>
        <color theme="0"/>
      </font>
      <fill>
        <patternFill patternType="lightHorizontal">
          <fgColor theme="0" tint="-0.34998626667073579"/>
          <bgColor theme="8" tint="-0.24994659260841701"/>
        </patternFill>
      </fill>
    </dxf>
    <dxf>
      <font>
        <color theme="0" tint="-4.9989318521683403E-2"/>
      </font>
      <fill>
        <patternFill patternType="gray0625">
          <fgColor theme="1" tint="0.24994659260841701"/>
          <bgColor theme="6" tint="-0.499984740745262"/>
        </patternFill>
      </fill>
    </dxf>
    <dxf>
      <font>
        <color theme="1"/>
      </font>
      <fill>
        <patternFill patternType="lightVertical">
          <fgColor theme="0" tint="-0.499984740745262"/>
          <bgColor rgb="FFFFC7CE"/>
        </patternFill>
      </fill>
    </dxf>
    <dxf>
      <font>
        <color theme="1" tint="0.14996795556505021"/>
      </font>
      <fill>
        <patternFill patternType="gray125">
          <fgColor theme="0" tint="-0.499984740745262"/>
          <bgColor rgb="FFFFEB9C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  <dxf>
      <fill>
        <patternFill>
          <bgColor rgb="FFE700DC"/>
        </patternFill>
      </fill>
    </dxf>
    <dxf>
      <fill>
        <patternFill>
          <bgColor rgb="FF17E686"/>
        </patternFill>
      </fill>
    </dxf>
    <dxf>
      <font>
        <color auto="1"/>
      </font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7AAE42"/>
        </patternFill>
      </fill>
    </dxf>
    <dxf>
      <font>
        <color auto="1"/>
      </font>
      <fill>
        <patternFill>
          <bgColor rgb="FFFF695B"/>
        </patternFill>
      </fill>
    </dxf>
  </dxfs>
  <tableStyles count="0" defaultTableStyle="TableStyleMedium9" defaultPivotStyle="PivotStyleMedium4"/>
  <colors>
    <mruColors>
      <color rgb="FF66FF5B"/>
      <color rgb="FF78A8B5"/>
      <color rgb="FFE700DC"/>
      <color rgb="FF7AAE42"/>
      <color rgb="FF17E686"/>
      <color rgb="FF3AEBF6"/>
      <color rgb="FFFF695B"/>
      <color rgb="FF82B7C4"/>
      <color rgb="FFE9FFB1"/>
      <color rgb="FFFFCC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6"/>
  <sheetViews>
    <sheetView tabSelected="1" workbookViewId="0">
      <selection activeCell="B2" sqref="B2"/>
    </sheetView>
  </sheetViews>
  <sheetFormatPr baseColWidth="10" defaultRowHeight="18" customHeight="1" x14ac:dyDescent="0.2"/>
  <cols>
    <col min="1" max="1" width="3.1640625" bestFit="1" customWidth="1"/>
    <col min="2" max="2" width="9.5" customWidth="1"/>
    <col min="3" max="3" width="3.1640625" bestFit="1" customWidth="1"/>
    <col min="4" max="4" width="9.5" customWidth="1"/>
    <col min="5" max="5" width="3.1640625" bestFit="1" customWidth="1"/>
    <col min="6" max="6" width="9.5" customWidth="1"/>
    <col min="7" max="7" width="4.1640625" bestFit="1" customWidth="1"/>
    <col min="8" max="8" width="9.5" customWidth="1"/>
    <col min="10" max="10" width="7.1640625" style="25" customWidth="1"/>
    <col min="11" max="11" width="9.33203125" customWidth="1"/>
    <col min="12" max="12" width="7.1640625" style="26" bestFit="1" customWidth="1"/>
    <col min="13" max="13" width="9.33203125" customWidth="1"/>
    <col min="14" max="14" width="7.1640625" style="26" bestFit="1" customWidth="1"/>
    <col min="15" max="15" width="9.33203125" customWidth="1"/>
    <col min="16" max="16" width="8.5" style="26" bestFit="1" customWidth="1"/>
    <col min="17" max="17" width="9.33203125" customWidth="1"/>
    <col min="19" max="21" width="10.83203125" customWidth="1"/>
  </cols>
  <sheetData>
    <row r="1" spans="1:20" s="22" customFormat="1" ht="18" customHeight="1" thickBot="1" x14ac:dyDescent="0.25">
      <c r="A1" s="89" t="s">
        <v>0</v>
      </c>
      <c r="B1" s="65" t="s">
        <v>2</v>
      </c>
      <c r="C1" s="64" t="s">
        <v>0</v>
      </c>
      <c r="D1" s="63" t="str">
        <f>$B$1</f>
        <v>gene1</v>
      </c>
      <c r="E1" s="62" t="s">
        <v>0</v>
      </c>
      <c r="F1" s="63" t="str">
        <f t="shared" ref="F1" si="0">$B$1</f>
        <v>gene1</v>
      </c>
      <c r="G1" s="62" t="s">
        <v>0</v>
      </c>
      <c r="H1" s="63" t="str">
        <f t="shared" ref="H1" si="1">$B$1</f>
        <v>gene1</v>
      </c>
      <c r="I1" s="21"/>
      <c r="J1" s="20" t="s">
        <v>0</v>
      </c>
      <c r="K1" s="97" t="str">
        <f>$B$1</f>
        <v>gene1</v>
      </c>
      <c r="L1" s="95" t="s">
        <v>0</v>
      </c>
      <c r="M1" s="97" t="str">
        <f t="shared" ref="M1" si="2">$B$1</f>
        <v>gene1</v>
      </c>
      <c r="N1" s="95" t="s">
        <v>0</v>
      </c>
      <c r="O1" s="97" t="str">
        <f t="shared" ref="O1" si="3">$B$1</f>
        <v>gene1</v>
      </c>
      <c r="P1" s="96" t="s">
        <v>0</v>
      </c>
      <c r="Q1" s="98" t="str">
        <f t="shared" ref="Q1" si="4">$B$1</f>
        <v>gene1</v>
      </c>
    </row>
    <row r="2" spans="1:20" ht="18" customHeight="1" x14ac:dyDescent="0.2">
      <c r="A2" s="66">
        <v>1</v>
      </c>
      <c r="B2" s="67"/>
      <c r="C2" s="68">
        <v>25</v>
      </c>
      <c r="D2" s="67"/>
      <c r="E2" s="68">
        <v>49</v>
      </c>
      <c r="F2" s="67"/>
      <c r="G2" s="68">
        <v>73</v>
      </c>
      <c r="H2" s="67"/>
      <c r="I2" s="69"/>
      <c r="J2" s="53" t="s">
        <v>5</v>
      </c>
      <c r="K2" s="70" t="str">
        <f t="shared" ref="K2:K25" si="5">IF(B2="","",IFERROR(INDEX($D$27:$D$36,MAX(_xlfn.IFNA(MATCH(B2,$D$27:$D$36,0),-1),_xlfn.IFNA(MATCH(B2,$C$27:$C$36,0),-1),_xlfn.IFNA(MATCH(B2,$B$27:$B$36,0),-1)),1),B2))</f>
        <v/>
      </c>
      <c r="L2" s="53" t="s">
        <v>6</v>
      </c>
      <c r="M2" s="70" t="str">
        <f t="shared" ref="M2:M25" si="6">IF(D2="","",IFERROR(INDEX($D$27:$D$36,MAX(_xlfn.IFNA(MATCH(D2,$D$27:$D$36,0),-1),_xlfn.IFNA(MATCH(D2,$C$27:$C$36,0),-1),_xlfn.IFNA(MATCH(D2,$B$27:$B$36,0),-1)),1),D2))</f>
        <v/>
      </c>
      <c r="N2" s="53" t="s">
        <v>7</v>
      </c>
      <c r="O2" s="70" t="str">
        <f t="shared" ref="O2:O25" si="7">IF(F2="","",IFERROR(INDEX($D$27:$D$36,MAX(_xlfn.IFNA(MATCH(F2,$D$27:$D$36,0),-1),_xlfn.IFNA(MATCH(F2,$C$27:$C$36,0),-1),_xlfn.IFNA(MATCH(F2,$B$27:$B$36,0),-1)),1),F2))</f>
        <v/>
      </c>
      <c r="P2" s="53" t="s">
        <v>8</v>
      </c>
      <c r="Q2" s="70" t="str">
        <f t="shared" ref="Q2:Q25" si="8">IF(H2="","",IFERROR(INDEX($D$27:$D$36,MAX(_xlfn.IFNA(MATCH(H2,$D$27:$D$36,0),-1),_xlfn.IFNA(MATCH(H2,$C$27:$C$36,0),-1),_xlfn.IFNA(MATCH(H2,$B$27:$B$36,0),-1)),1),H2))</f>
        <v/>
      </c>
    </row>
    <row r="3" spans="1:20" ht="18" customHeight="1" x14ac:dyDescent="0.2">
      <c r="A3" s="66">
        <v>2</v>
      </c>
      <c r="B3" s="71"/>
      <c r="C3" s="68">
        <v>26</v>
      </c>
      <c r="D3" s="71"/>
      <c r="E3" s="68">
        <v>50</v>
      </c>
      <c r="F3" s="71"/>
      <c r="G3" s="68">
        <v>74</v>
      </c>
      <c r="H3" s="71"/>
      <c r="I3" s="69"/>
      <c r="J3" s="55" t="s">
        <v>9</v>
      </c>
      <c r="K3" s="72" t="str">
        <f t="shared" si="5"/>
        <v/>
      </c>
      <c r="L3" s="55" t="s">
        <v>10</v>
      </c>
      <c r="M3" s="72" t="str">
        <f t="shared" si="6"/>
        <v/>
      </c>
      <c r="N3" s="55" t="s">
        <v>11</v>
      </c>
      <c r="O3" s="72" t="str">
        <f t="shared" si="7"/>
        <v/>
      </c>
      <c r="P3" s="55" t="s">
        <v>12</v>
      </c>
      <c r="Q3" s="72" t="str">
        <f t="shared" si="8"/>
        <v/>
      </c>
      <c r="S3" s="22"/>
      <c r="T3" s="22"/>
    </row>
    <row r="4" spans="1:20" ht="18" customHeight="1" x14ac:dyDescent="0.2">
      <c r="A4" s="66">
        <v>3</v>
      </c>
      <c r="B4" s="71"/>
      <c r="C4" s="68">
        <v>27</v>
      </c>
      <c r="D4" s="71"/>
      <c r="E4" s="68">
        <v>51</v>
      </c>
      <c r="F4" s="71"/>
      <c r="G4" s="68">
        <v>75</v>
      </c>
      <c r="H4" s="71"/>
      <c r="I4" s="69"/>
      <c r="J4" s="55" t="s">
        <v>13</v>
      </c>
      <c r="K4" s="72" t="str">
        <f t="shared" si="5"/>
        <v/>
      </c>
      <c r="L4" s="55" t="s">
        <v>14</v>
      </c>
      <c r="M4" s="72" t="str">
        <f t="shared" si="6"/>
        <v/>
      </c>
      <c r="N4" s="55" t="s">
        <v>15</v>
      </c>
      <c r="O4" s="72" t="str">
        <f t="shared" si="7"/>
        <v/>
      </c>
      <c r="P4" s="55" t="s">
        <v>16</v>
      </c>
      <c r="Q4" s="72" t="str">
        <f t="shared" si="8"/>
        <v/>
      </c>
    </row>
    <row r="5" spans="1:20" ht="18" customHeight="1" x14ac:dyDescent="0.2">
      <c r="A5" s="66">
        <v>4</v>
      </c>
      <c r="B5" s="71"/>
      <c r="C5" s="68">
        <v>28</v>
      </c>
      <c r="D5" s="71"/>
      <c r="E5" s="68">
        <v>52</v>
      </c>
      <c r="F5" s="71"/>
      <c r="G5" s="68">
        <v>76</v>
      </c>
      <c r="H5" s="71"/>
      <c r="I5" s="69"/>
      <c r="J5" s="55" t="s">
        <v>17</v>
      </c>
      <c r="K5" s="72" t="str">
        <f t="shared" si="5"/>
        <v/>
      </c>
      <c r="L5" s="55" t="s">
        <v>18</v>
      </c>
      <c r="M5" s="72" t="str">
        <f t="shared" si="6"/>
        <v/>
      </c>
      <c r="N5" s="55" t="s">
        <v>19</v>
      </c>
      <c r="O5" s="72" t="str">
        <f t="shared" si="7"/>
        <v/>
      </c>
      <c r="P5" s="55" t="s">
        <v>20</v>
      </c>
      <c r="Q5" s="72" t="str">
        <f t="shared" si="8"/>
        <v/>
      </c>
    </row>
    <row r="6" spans="1:20" ht="18" customHeight="1" x14ac:dyDescent="0.2">
      <c r="A6" s="66">
        <v>5</v>
      </c>
      <c r="B6" s="71"/>
      <c r="C6" s="68">
        <v>29</v>
      </c>
      <c r="D6" s="71"/>
      <c r="E6" s="68">
        <v>53</v>
      </c>
      <c r="F6" s="71"/>
      <c r="G6" s="68">
        <v>77</v>
      </c>
      <c r="H6" s="71"/>
      <c r="I6" s="69"/>
      <c r="J6" s="55" t="s">
        <v>89</v>
      </c>
      <c r="K6" s="72" t="str">
        <f t="shared" si="5"/>
        <v/>
      </c>
      <c r="L6" s="55" t="s">
        <v>95</v>
      </c>
      <c r="M6" s="72" t="str">
        <f t="shared" si="6"/>
        <v/>
      </c>
      <c r="N6" s="55" t="s">
        <v>96</v>
      </c>
      <c r="O6" s="72" t="str">
        <f t="shared" si="7"/>
        <v/>
      </c>
      <c r="P6" s="55" t="s">
        <v>97</v>
      </c>
      <c r="Q6" s="72" t="str">
        <f t="shared" si="8"/>
        <v/>
      </c>
    </row>
    <row r="7" spans="1:20" ht="18" customHeight="1" x14ac:dyDescent="0.2">
      <c r="A7" s="66">
        <v>6</v>
      </c>
      <c r="B7" s="71"/>
      <c r="C7" s="68">
        <v>30</v>
      </c>
      <c r="D7" s="71"/>
      <c r="E7" s="68">
        <v>54</v>
      </c>
      <c r="F7" s="71"/>
      <c r="G7" s="68">
        <v>78</v>
      </c>
      <c r="H7" s="71"/>
      <c r="I7" s="69"/>
      <c r="J7" s="55" t="s">
        <v>21</v>
      </c>
      <c r="K7" s="72" t="str">
        <f t="shared" si="5"/>
        <v/>
      </c>
      <c r="L7" s="55" t="s">
        <v>22</v>
      </c>
      <c r="M7" s="72" t="str">
        <f t="shared" si="6"/>
        <v/>
      </c>
      <c r="N7" s="55" t="s">
        <v>23</v>
      </c>
      <c r="O7" s="72" t="str">
        <f t="shared" si="7"/>
        <v/>
      </c>
      <c r="P7" s="55" t="s">
        <v>24</v>
      </c>
      <c r="Q7" s="72" t="str">
        <f t="shared" si="8"/>
        <v/>
      </c>
    </row>
    <row r="8" spans="1:20" ht="18" customHeight="1" x14ac:dyDescent="0.2">
      <c r="A8" s="66">
        <v>7</v>
      </c>
      <c r="B8" s="71"/>
      <c r="C8" s="68">
        <v>31</v>
      </c>
      <c r="D8" s="71"/>
      <c r="E8" s="68">
        <v>55</v>
      </c>
      <c r="F8" s="71"/>
      <c r="G8" s="68">
        <v>79</v>
      </c>
      <c r="H8" s="71"/>
      <c r="I8" s="69"/>
      <c r="J8" s="55" t="s">
        <v>25</v>
      </c>
      <c r="K8" s="72" t="str">
        <f t="shared" si="5"/>
        <v/>
      </c>
      <c r="L8" s="55" t="s">
        <v>26</v>
      </c>
      <c r="M8" s="72" t="str">
        <f t="shared" si="6"/>
        <v/>
      </c>
      <c r="N8" s="55" t="s">
        <v>27</v>
      </c>
      <c r="O8" s="72" t="str">
        <f t="shared" si="7"/>
        <v/>
      </c>
      <c r="P8" s="55" t="s">
        <v>28</v>
      </c>
      <c r="Q8" s="72" t="str">
        <f t="shared" si="8"/>
        <v/>
      </c>
    </row>
    <row r="9" spans="1:20" ht="18" customHeight="1" thickBot="1" x14ac:dyDescent="0.25">
      <c r="A9" s="73">
        <v>8</v>
      </c>
      <c r="B9" s="74"/>
      <c r="C9" s="75">
        <v>32</v>
      </c>
      <c r="D9" s="74"/>
      <c r="E9" s="75">
        <v>56</v>
      </c>
      <c r="F9" s="74"/>
      <c r="G9" s="75">
        <v>80</v>
      </c>
      <c r="H9" s="74"/>
      <c r="I9" s="69"/>
      <c r="J9" s="57" t="s">
        <v>29</v>
      </c>
      <c r="K9" s="76" t="str">
        <f t="shared" si="5"/>
        <v/>
      </c>
      <c r="L9" s="57" t="s">
        <v>30</v>
      </c>
      <c r="M9" s="76" t="str">
        <f t="shared" si="6"/>
        <v/>
      </c>
      <c r="N9" s="57" t="s">
        <v>31</v>
      </c>
      <c r="O9" s="76" t="str">
        <f t="shared" si="7"/>
        <v/>
      </c>
      <c r="P9" s="57" t="s">
        <v>32</v>
      </c>
      <c r="Q9" s="76" t="str">
        <f t="shared" si="8"/>
        <v/>
      </c>
    </row>
    <row r="10" spans="1:20" ht="18" customHeight="1" x14ac:dyDescent="0.2">
      <c r="A10" s="66">
        <v>9</v>
      </c>
      <c r="B10" s="77"/>
      <c r="C10" s="68">
        <v>33</v>
      </c>
      <c r="D10" s="77"/>
      <c r="E10" s="68">
        <v>57</v>
      </c>
      <c r="F10" s="77"/>
      <c r="G10" s="68">
        <v>81</v>
      </c>
      <c r="H10" s="77"/>
      <c r="I10" s="69"/>
      <c r="J10" s="53" t="s">
        <v>33</v>
      </c>
      <c r="K10" s="70" t="str">
        <f t="shared" si="5"/>
        <v/>
      </c>
      <c r="L10" s="53" t="s">
        <v>34</v>
      </c>
      <c r="M10" s="70" t="str">
        <f t="shared" si="6"/>
        <v/>
      </c>
      <c r="N10" s="53" t="s">
        <v>35</v>
      </c>
      <c r="O10" s="70" t="str">
        <f t="shared" si="7"/>
        <v/>
      </c>
      <c r="P10" s="53" t="s">
        <v>36</v>
      </c>
      <c r="Q10" s="70" t="str">
        <f t="shared" si="8"/>
        <v/>
      </c>
    </row>
    <row r="11" spans="1:20" ht="18" customHeight="1" x14ac:dyDescent="0.2">
      <c r="A11" s="66">
        <v>10</v>
      </c>
      <c r="B11" s="71"/>
      <c r="C11" s="68">
        <v>34</v>
      </c>
      <c r="D11" s="71"/>
      <c r="E11" s="68">
        <v>58</v>
      </c>
      <c r="F11" s="71"/>
      <c r="G11" s="68">
        <v>82</v>
      </c>
      <c r="H11" s="71"/>
      <c r="I11" s="69"/>
      <c r="J11" s="55" t="s">
        <v>37</v>
      </c>
      <c r="K11" s="72" t="str">
        <f t="shared" si="5"/>
        <v/>
      </c>
      <c r="L11" s="55" t="s">
        <v>38</v>
      </c>
      <c r="M11" s="72" t="str">
        <f t="shared" si="6"/>
        <v/>
      </c>
      <c r="N11" s="55" t="s">
        <v>39</v>
      </c>
      <c r="O11" s="72" t="str">
        <f t="shared" si="7"/>
        <v/>
      </c>
      <c r="P11" s="55" t="s">
        <v>40</v>
      </c>
      <c r="Q11" s="72" t="str">
        <f t="shared" si="8"/>
        <v/>
      </c>
    </row>
    <row r="12" spans="1:20" ht="18" customHeight="1" x14ac:dyDescent="0.2">
      <c r="A12" s="66">
        <v>11</v>
      </c>
      <c r="B12" s="71"/>
      <c r="C12" s="68">
        <v>35</v>
      </c>
      <c r="D12" s="71"/>
      <c r="E12" s="68">
        <v>59</v>
      </c>
      <c r="F12" s="71"/>
      <c r="G12" s="68">
        <v>83</v>
      </c>
      <c r="H12" s="71"/>
      <c r="I12" s="69"/>
      <c r="J12" s="55" t="s">
        <v>41</v>
      </c>
      <c r="K12" s="72" t="str">
        <f t="shared" si="5"/>
        <v/>
      </c>
      <c r="L12" s="55" t="s">
        <v>42</v>
      </c>
      <c r="M12" s="72" t="str">
        <f t="shared" si="6"/>
        <v/>
      </c>
      <c r="N12" s="55" t="s">
        <v>43</v>
      </c>
      <c r="O12" s="72" t="str">
        <f t="shared" si="7"/>
        <v/>
      </c>
      <c r="P12" s="55" t="s">
        <v>44</v>
      </c>
      <c r="Q12" s="72" t="str">
        <f t="shared" si="8"/>
        <v/>
      </c>
    </row>
    <row r="13" spans="1:20" ht="18" customHeight="1" x14ac:dyDescent="0.2">
      <c r="A13" s="66">
        <v>12</v>
      </c>
      <c r="B13" s="71"/>
      <c r="C13" s="68">
        <v>36</v>
      </c>
      <c r="D13" s="71"/>
      <c r="E13" s="68">
        <v>60</v>
      </c>
      <c r="F13" s="71"/>
      <c r="G13" s="68">
        <v>84</v>
      </c>
      <c r="H13" s="71"/>
      <c r="I13" s="69"/>
      <c r="J13" s="55" t="s">
        <v>45</v>
      </c>
      <c r="K13" s="72" t="str">
        <f t="shared" si="5"/>
        <v/>
      </c>
      <c r="L13" s="55" t="s">
        <v>46</v>
      </c>
      <c r="M13" s="72" t="str">
        <f t="shared" si="6"/>
        <v/>
      </c>
      <c r="N13" s="55" t="s">
        <v>47</v>
      </c>
      <c r="O13" s="72" t="str">
        <f t="shared" si="7"/>
        <v/>
      </c>
      <c r="P13" s="55" t="s">
        <v>48</v>
      </c>
      <c r="Q13" s="72" t="str">
        <f t="shared" si="8"/>
        <v/>
      </c>
    </row>
    <row r="14" spans="1:20" ht="18" customHeight="1" x14ac:dyDescent="0.2">
      <c r="A14" s="66">
        <v>13</v>
      </c>
      <c r="B14" s="71"/>
      <c r="C14" s="68">
        <v>37</v>
      </c>
      <c r="D14" s="71"/>
      <c r="E14" s="68">
        <v>61</v>
      </c>
      <c r="F14" s="71"/>
      <c r="G14" s="68">
        <v>85</v>
      </c>
      <c r="H14" s="71"/>
      <c r="I14" s="69"/>
      <c r="J14" s="55" t="s">
        <v>90</v>
      </c>
      <c r="K14" s="72" t="str">
        <f t="shared" si="5"/>
        <v/>
      </c>
      <c r="L14" s="55" t="s">
        <v>98</v>
      </c>
      <c r="M14" s="72" t="str">
        <f t="shared" si="6"/>
        <v/>
      </c>
      <c r="N14" s="55" t="s">
        <v>99</v>
      </c>
      <c r="O14" s="72" t="str">
        <f t="shared" si="7"/>
        <v/>
      </c>
      <c r="P14" s="55" t="s">
        <v>100</v>
      </c>
      <c r="Q14" s="72" t="str">
        <f t="shared" si="8"/>
        <v/>
      </c>
    </row>
    <row r="15" spans="1:20" ht="18" customHeight="1" x14ac:dyDescent="0.2">
      <c r="A15" s="66">
        <v>14</v>
      </c>
      <c r="B15" s="71"/>
      <c r="C15" s="68">
        <v>38</v>
      </c>
      <c r="D15" s="71"/>
      <c r="E15" s="68">
        <v>62</v>
      </c>
      <c r="F15" s="71"/>
      <c r="G15" s="68">
        <v>86</v>
      </c>
      <c r="H15" s="71"/>
      <c r="I15" s="69"/>
      <c r="J15" s="55" t="s">
        <v>49</v>
      </c>
      <c r="K15" s="72" t="str">
        <f t="shared" si="5"/>
        <v/>
      </c>
      <c r="L15" s="55" t="s">
        <v>50</v>
      </c>
      <c r="M15" s="72" t="str">
        <f t="shared" si="6"/>
        <v/>
      </c>
      <c r="N15" s="55" t="s">
        <v>51</v>
      </c>
      <c r="O15" s="72" t="str">
        <f t="shared" si="7"/>
        <v/>
      </c>
      <c r="P15" s="55" t="s">
        <v>52</v>
      </c>
      <c r="Q15" s="72" t="str">
        <f t="shared" si="8"/>
        <v/>
      </c>
    </row>
    <row r="16" spans="1:20" ht="18" customHeight="1" x14ac:dyDescent="0.2">
      <c r="A16" s="66">
        <v>15</v>
      </c>
      <c r="B16" s="71"/>
      <c r="C16" s="68">
        <v>39</v>
      </c>
      <c r="D16" s="71"/>
      <c r="E16" s="68">
        <v>63</v>
      </c>
      <c r="F16" s="71"/>
      <c r="G16" s="68">
        <v>87</v>
      </c>
      <c r="H16" s="71"/>
      <c r="I16" s="69"/>
      <c r="J16" s="55" t="s">
        <v>53</v>
      </c>
      <c r="K16" s="72" t="str">
        <f t="shared" si="5"/>
        <v/>
      </c>
      <c r="L16" s="55" t="s">
        <v>54</v>
      </c>
      <c r="M16" s="72" t="str">
        <f t="shared" si="6"/>
        <v/>
      </c>
      <c r="N16" s="55" t="s">
        <v>55</v>
      </c>
      <c r="O16" s="72" t="str">
        <f t="shared" si="7"/>
        <v/>
      </c>
      <c r="P16" s="55" t="s">
        <v>56</v>
      </c>
      <c r="Q16" s="72" t="str">
        <f t="shared" si="8"/>
        <v/>
      </c>
    </row>
    <row r="17" spans="1:17" ht="18" customHeight="1" thickBot="1" x14ac:dyDescent="0.25">
      <c r="A17" s="73">
        <v>16</v>
      </c>
      <c r="B17" s="74"/>
      <c r="C17" s="75">
        <v>40</v>
      </c>
      <c r="D17" s="74"/>
      <c r="E17" s="75">
        <v>64</v>
      </c>
      <c r="F17" s="74"/>
      <c r="G17" s="75">
        <v>88</v>
      </c>
      <c r="H17" s="74"/>
      <c r="I17" s="69"/>
      <c r="J17" s="57" t="s">
        <v>57</v>
      </c>
      <c r="K17" s="76" t="str">
        <f t="shared" si="5"/>
        <v/>
      </c>
      <c r="L17" s="57" t="s">
        <v>58</v>
      </c>
      <c r="M17" s="76" t="str">
        <f t="shared" si="6"/>
        <v/>
      </c>
      <c r="N17" s="57" t="s">
        <v>59</v>
      </c>
      <c r="O17" s="76" t="str">
        <f t="shared" si="7"/>
        <v/>
      </c>
      <c r="P17" s="57" t="s">
        <v>60</v>
      </c>
      <c r="Q17" s="76" t="str">
        <f t="shared" si="8"/>
        <v/>
      </c>
    </row>
    <row r="18" spans="1:17" ht="18" customHeight="1" x14ac:dyDescent="0.2">
      <c r="A18" s="66">
        <v>17</v>
      </c>
      <c r="B18" s="77"/>
      <c r="C18" s="68">
        <v>41</v>
      </c>
      <c r="D18" s="77"/>
      <c r="E18" s="68">
        <v>65</v>
      </c>
      <c r="F18" s="77"/>
      <c r="G18" s="68">
        <v>89</v>
      </c>
      <c r="H18" s="77"/>
      <c r="I18" s="69"/>
      <c r="J18" s="53" t="s">
        <v>61</v>
      </c>
      <c r="K18" s="70" t="str">
        <f t="shared" si="5"/>
        <v/>
      </c>
      <c r="L18" s="53" t="s">
        <v>62</v>
      </c>
      <c r="M18" s="70" t="str">
        <f t="shared" si="6"/>
        <v/>
      </c>
      <c r="N18" s="53" t="s">
        <v>63</v>
      </c>
      <c r="O18" s="70" t="str">
        <f t="shared" si="7"/>
        <v/>
      </c>
      <c r="P18" s="53" t="s">
        <v>64</v>
      </c>
      <c r="Q18" s="70" t="str">
        <f t="shared" si="8"/>
        <v/>
      </c>
    </row>
    <row r="19" spans="1:17" ht="18" customHeight="1" x14ac:dyDescent="0.2">
      <c r="A19" s="66">
        <v>18</v>
      </c>
      <c r="B19" s="71"/>
      <c r="C19" s="68">
        <v>42</v>
      </c>
      <c r="D19" s="71"/>
      <c r="E19" s="68">
        <v>66</v>
      </c>
      <c r="F19" s="71"/>
      <c r="G19" s="68">
        <v>90</v>
      </c>
      <c r="H19" s="71"/>
      <c r="I19" s="69"/>
      <c r="J19" s="55" t="s">
        <v>65</v>
      </c>
      <c r="K19" s="72" t="str">
        <f t="shared" si="5"/>
        <v/>
      </c>
      <c r="L19" s="55" t="s">
        <v>66</v>
      </c>
      <c r="M19" s="72" t="str">
        <f t="shared" si="6"/>
        <v/>
      </c>
      <c r="N19" s="55" t="s">
        <v>67</v>
      </c>
      <c r="O19" s="72" t="str">
        <f t="shared" si="7"/>
        <v/>
      </c>
      <c r="P19" s="55" t="s">
        <v>68</v>
      </c>
      <c r="Q19" s="72" t="str">
        <f t="shared" si="8"/>
        <v/>
      </c>
    </row>
    <row r="20" spans="1:17" ht="18" customHeight="1" x14ac:dyDescent="0.2">
      <c r="A20" s="66">
        <v>19</v>
      </c>
      <c r="B20" s="71"/>
      <c r="C20" s="68">
        <v>43</v>
      </c>
      <c r="D20" s="71"/>
      <c r="E20" s="68">
        <v>67</v>
      </c>
      <c r="F20" s="71"/>
      <c r="G20" s="68">
        <v>91</v>
      </c>
      <c r="H20" s="71"/>
      <c r="I20" s="69"/>
      <c r="J20" s="55" t="s">
        <v>69</v>
      </c>
      <c r="K20" s="72" t="str">
        <f t="shared" si="5"/>
        <v/>
      </c>
      <c r="L20" s="55" t="s">
        <v>70</v>
      </c>
      <c r="M20" s="72" t="str">
        <f t="shared" si="6"/>
        <v/>
      </c>
      <c r="N20" s="55" t="s">
        <v>71</v>
      </c>
      <c r="O20" s="72" t="str">
        <f t="shared" si="7"/>
        <v/>
      </c>
      <c r="P20" s="55" t="s">
        <v>72</v>
      </c>
      <c r="Q20" s="72" t="str">
        <f t="shared" si="8"/>
        <v/>
      </c>
    </row>
    <row r="21" spans="1:17" ht="18" customHeight="1" x14ac:dyDescent="0.2">
      <c r="A21" s="66">
        <v>20</v>
      </c>
      <c r="B21" s="71"/>
      <c r="C21" s="68">
        <v>44</v>
      </c>
      <c r="D21" s="71"/>
      <c r="E21" s="68">
        <v>68</v>
      </c>
      <c r="F21" s="71"/>
      <c r="G21" s="68">
        <v>92</v>
      </c>
      <c r="H21" s="71"/>
      <c r="I21" s="69"/>
      <c r="J21" s="55" t="s">
        <v>73</v>
      </c>
      <c r="K21" s="72" t="str">
        <f t="shared" si="5"/>
        <v/>
      </c>
      <c r="L21" s="55" t="s">
        <v>74</v>
      </c>
      <c r="M21" s="72" t="str">
        <f t="shared" si="6"/>
        <v/>
      </c>
      <c r="N21" s="55" t="s">
        <v>75</v>
      </c>
      <c r="O21" s="72" t="str">
        <f t="shared" si="7"/>
        <v/>
      </c>
      <c r="P21" s="55" t="s">
        <v>76</v>
      </c>
      <c r="Q21" s="72" t="str">
        <f t="shared" si="8"/>
        <v/>
      </c>
    </row>
    <row r="22" spans="1:17" ht="18" customHeight="1" x14ac:dyDescent="0.2">
      <c r="A22" s="66">
        <v>21</v>
      </c>
      <c r="B22" s="71"/>
      <c r="C22" s="68">
        <v>45</v>
      </c>
      <c r="D22" s="71"/>
      <c r="E22" s="68">
        <v>69</v>
      </c>
      <c r="F22" s="71"/>
      <c r="G22" s="68">
        <v>93</v>
      </c>
      <c r="H22" s="71"/>
      <c r="I22" s="69"/>
      <c r="J22" s="55" t="s">
        <v>91</v>
      </c>
      <c r="K22" s="72" t="str">
        <f t="shared" si="5"/>
        <v/>
      </c>
      <c r="L22" s="55" t="s">
        <v>92</v>
      </c>
      <c r="M22" s="72" t="str">
        <f t="shared" si="6"/>
        <v/>
      </c>
      <c r="N22" s="55" t="s">
        <v>93</v>
      </c>
      <c r="O22" s="72" t="str">
        <f t="shared" si="7"/>
        <v/>
      </c>
      <c r="P22" s="55" t="s">
        <v>94</v>
      </c>
      <c r="Q22" s="72" t="str">
        <f t="shared" si="8"/>
        <v/>
      </c>
    </row>
    <row r="23" spans="1:17" ht="18" customHeight="1" x14ac:dyDescent="0.2">
      <c r="A23" s="66">
        <v>22</v>
      </c>
      <c r="B23" s="71"/>
      <c r="C23" s="68">
        <v>46</v>
      </c>
      <c r="D23" s="71"/>
      <c r="E23" s="68">
        <v>70</v>
      </c>
      <c r="F23" s="71"/>
      <c r="G23" s="68">
        <v>94</v>
      </c>
      <c r="H23" s="71"/>
      <c r="I23" s="69"/>
      <c r="J23" s="55" t="s">
        <v>77</v>
      </c>
      <c r="K23" s="72" t="str">
        <f t="shared" si="5"/>
        <v/>
      </c>
      <c r="L23" s="55" t="s">
        <v>78</v>
      </c>
      <c r="M23" s="72" t="str">
        <f t="shared" si="6"/>
        <v/>
      </c>
      <c r="N23" s="55" t="s">
        <v>79</v>
      </c>
      <c r="O23" s="72" t="str">
        <f t="shared" si="7"/>
        <v/>
      </c>
      <c r="P23" s="55" t="s">
        <v>80</v>
      </c>
      <c r="Q23" s="72" t="str">
        <f t="shared" si="8"/>
        <v/>
      </c>
    </row>
    <row r="24" spans="1:17" ht="18" customHeight="1" x14ac:dyDescent="0.2">
      <c r="A24" s="66">
        <v>23</v>
      </c>
      <c r="B24" s="71"/>
      <c r="C24" s="68">
        <v>47</v>
      </c>
      <c r="D24" s="71"/>
      <c r="E24" s="68">
        <v>71</v>
      </c>
      <c r="F24" s="71"/>
      <c r="G24" s="68">
        <v>95</v>
      </c>
      <c r="H24" s="71"/>
      <c r="I24" s="69"/>
      <c r="J24" s="55" t="s">
        <v>81</v>
      </c>
      <c r="K24" s="72" t="str">
        <f t="shared" si="5"/>
        <v/>
      </c>
      <c r="L24" s="55" t="s">
        <v>82</v>
      </c>
      <c r="M24" s="72" t="str">
        <f t="shared" si="6"/>
        <v/>
      </c>
      <c r="N24" s="55" t="s">
        <v>83</v>
      </c>
      <c r="O24" s="72" t="str">
        <f t="shared" si="7"/>
        <v/>
      </c>
      <c r="P24" s="55" t="s">
        <v>84</v>
      </c>
      <c r="Q24" s="72" t="str">
        <f t="shared" si="8"/>
        <v/>
      </c>
    </row>
    <row r="25" spans="1:17" ht="18" customHeight="1" thickBot="1" x14ac:dyDescent="0.25">
      <c r="A25" s="73">
        <v>24</v>
      </c>
      <c r="B25" s="74"/>
      <c r="C25" s="75">
        <v>48</v>
      </c>
      <c r="D25" s="74"/>
      <c r="E25" s="75">
        <v>72</v>
      </c>
      <c r="F25" s="74"/>
      <c r="G25" s="75">
        <v>96</v>
      </c>
      <c r="H25" s="74"/>
      <c r="I25" s="69"/>
      <c r="J25" s="57" t="s">
        <v>85</v>
      </c>
      <c r="K25" s="76" t="str">
        <f t="shared" si="5"/>
        <v/>
      </c>
      <c r="L25" s="57" t="s">
        <v>86</v>
      </c>
      <c r="M25" s="76" t="str">
        <f t="shared" si="6"/>
        <v/>
      </c>
      <c r="N25" s="57" t="s">
        <v>87</v>
      </c>
      <c r="O25" s="76" t="str">
        <f t="shared" si="7"/>
        <v/>
      </c>
      <c r="P25" s="57" t="s">
        <v>88</v>
      </c>
      <c r="Q25" s="76" t="str">
        <f t="shared" si="8"/>
        <v/>
      </c>
    </row>
    <row r="26" spans="1:17" ht="18" customHeight="1" x14ac:dyDescent="0.2">
      <c r="A26" s="101" t="s">
        <v>113</v>
      </c>
      <c r="B26" s="101"/>
      <c r="C26" s="101"/>
      <c r="D26" s="101"/>
      <c r="E26" s="90"/>
      <c r="F26" s="90" t="s">
        <v>114</v>
      </c>
      <c r="G26" s="90"/>
      <c r="H26" s="90"/>
      <c r="I26" s="3"/>
      <c r="J26" s="90"/>
      <c r="K26" s="90"/>
      <c r="L26" s="90"/>
      <c r="M26" s="90"/>
      <c r="N26" s="90"/>
      <c r="O26" s="90"/>
      <c r="P26" s="90"/>
      <c r="Q26" s="90"/>
    </row>
    <row r="27" spans="1:17" ht="18" customHeight="1" x14ac:dyDescent="0.2">
      <c r="A27" s="102" t="s">
        <v>104</v>
      </c>
      <c r="B27" s="102"/>
      <c r="C27" s="93" t="str">
        <f>LEFT(A27,1)</f>
        <v>m</v>
      </c>
      <c r="D27" s="94">
        <v>0</v>
      </c>
      <c r="E27" s="3"/>
      <c r="F27" s="3">
        <f>COUNTIF($K$2:$Q$25,D27)</f>
        <v>0</v>
      </c>
      <c r="G27" s="3"/>
      <c r="H27" s="3"/>
      <c r="I27" s="3"/>
      <c r="J27" s="23"/>
      <c r="K27" s="3"/>
      <c r="L27" s="24"/>
      <c r="M27" s="3"/>
      <c r="N27" s="24"/>
      <c r="O27" s="3"/>
      <c r="P27" s="24"/>
      <c r="Q27" s="3"/>
    </row>
    <row r="28" spans="1:17" ht="18" customHeight="1" x14ac:dyDescent="0.2">
      <c r="A28" s="102" t="s">
        <v>103</v>
      </c>
      <c r="B28" s="102"/>
      <c r="C28" s="93" t="str">
        <f t="shared" ref="C28:C36" si="9">LEFT(A28,1)</f>
        <v>h</v>
      </c>
      <c r="D28" s="94">
        <v>1</v>
      </c>
      <c r="E28" s="3"/>
      <c r="F28" s="3">
        <f>COUNTIF($K$2:$Q$25,D28)</f>
        <v>0</v>
      </c>
      <c r="G28" s="3"/>
      <c r="H28" s="3"/>
      <c r="I28" s="3"/>
      <c r="J28" s="23"/>
      <c r="K28" s="3"/>
      <c r="L28" s="24"/>
      <c r="M28" s="3"/>
      <c r="N28" s="24"/>
      <c r="O28" s="3"/>
      <c r="P28" s="24"/>
      <c r="Q28" s="3"/>
    </row>
    <row r="29" spans="1:17" ht="18" customHeight="1" x14ac:dyDescent="0.2">
      <c r="A29" s="102" t="s">
        <v>102</v>
      </c>
      <c r="B29" s="102"/>
      <c r="C29" s="93" t="str">
        <f t="shared" si="9"/>
        <v>w</v>
      </c>
      <c r="D29" s="94">
        <v>2</v>
      </c>
      <c r="E29" s="3"/>
      <c r="F29" s="3">
        <f>COUNTIF($K$2:$Q$25,D29)</f>
        <v>0</v>
      </c>
      <c r="G29" s="3"/>
      <c r="H29" s="3"/>
      <c r="I29" s="3"/>
      <c r="J29" s="23"/>
      <c r="K29" s="3"/>
      <c r="L29" s="24"/>
      <c r="M29" s="3"/>
      <c r="N29" s="24"/>
      <c r="O29" s="3"/>
      <c r="P29" s="24"/>
      <c r="Q29" s="3"/>
    </row>
    <row r="30" spans="1:17" ht="18" customHeight="1" x14ac:dyDescent="0.2">
      <c r="A30" s="102"/>
      <c r="B30" s="102"/>
      <c r="C30" s="93" t="str">
        <f t="shared" si="9"/>
        <v/>
      </c>
      <c r="D30" s="94">
        <v>3</v>
      </c>
      <c r="F30" s="3">
        <f t="shared" ref="F30:F35" si="10">COUNTIF($K$2:$Q$25,D30)</f>
        <v>0</v>
      </c>
    </row>
    <row r="31" spans="1:17" ht="18" customHeight="1" x14ac:dyDescent="0.2">
      <c r="A31" s="102"/>
      <c r="B31" s="102"/>
      <c r="C31" s="93" t="str">
        <f t="shared" si="9"/>
        <v/>
      </c>
      <c r="D31" s="94">
        <v>4</v>
      </c>
      <c r="F31" s="3">
        <f t="shared" si="10"/>
        <v>0</v>
      </c>
    </row>
    <row r="32" spans="1:17" ht="18" customHeight="1" x14ac:dyDescent="0.2">
      <c r="A32" s="102"/>
      <c r="B32" s="102"/>
      <c r="C32" s="93" t="str">
        <f t="shared" si="9"/>
        <v/>
      </c>
      <c r="D32" s="94">
        <v>5</v>
      </c>
      <c r="F32" s="3">
        <f t="shared" si="10"/>
        <v>0</v>
      </c>
    </row>
    <row r="33" spans="1:6" ht="18" customHeight="1" x14ac:dyDescent="0.2">
      <c r="A33" s="102"/>
      <c r="B33" s="102"/>
      <c r="C33" s="93" t="str">
        <f t="shared" si="9"/>
        <v/>
      </c>
      <c r="D33" s="94">
        <v>6</v>
      </c>
      <c r="F33" s="3">
        <f t="shared" si="10"/>
        <v>0</v>
      </c>
    </row>
    <row r="34" spans="1:6" ht="18" customHeight="1" x14ac:dyDescent="0.2">
      <c r="A34" s="102"/>
      <c r="B34" s="102"/>
      <c r="C34" s="93" t="str">
        <f t="shared" si="9"/>
        <v/>
      </c>
      <c r="D34" s="94">
        <v>7</v>
      </c>
      <c r="F34" s="3">
        <f t="shared" si="10"/>
        <v>0</v>
      </c>
    </row>
    <row r="35" spans="1:6" ht="18" customHeight="1" x14ac:dyDescent="0.2">
      <c r="A35" s="102"/>
      <c r="B35" s="102"/>
      <c r="C35" s="93" t="str">
        <f t="shared" si="9"/>
        <v/>
      </c>
      <c r="D35" s="94">
        <v>8</v>
      </c>
      <c r="F35" s="3">
        <f t="shared" si="10"/>
        <v>0</v>
      </c>
    </row>
    <row r="36" spans="1:6" ht="18" customHeight="1" x14ac:dyDescent="0.2">
      <c r="A36" s="102"/>
      <c r="B36" s="102"/>
      <c r="C36" s="93" t="str">
        <f t="shared" si="9"/>
        <v/>
      </c>
      <c r="D36" s="94">
        <v>9</v>
      </c>
      <c r="F36" s="3">
        <f>COUNTIF($K$2:$Q$25,D36)</f>
        <v>0</v>
      </c>
    </row>
  </sheetData>
  <sheetProtection sheet="1" objects="1" scenarios="1" formatCells="0" formatColumns="0" formatRows="0"/>
  <mergeCells count="11">
    <mergeCell ref="A36:B36"/>
    <mergeCell ref="A30:B30"/>
    <mergeCell ref="A31:B31"/>
    <mergeCell ref="A32:B32"/>
    <mergeCell ref="A33:B33"/>
    <mergeCell ref="A34:B34"/>
    <mergeCell ref="A26:D26"/>
    <mergeCell ref="A27:B27"/>
    <mergeCell ref="A28:B28"/>
    <mergeCell ref="A29:B29"/>
    <mergeCell ref="A35:B35"/>
  </mergeCells>
  <phoneticPr fontId="10" type="noConversion"/>
  <conditionalFormatting sqref="N2:N25 P2:P25">
    <cfRule type="expression" dxfId="293" priority="143">
      <formula>AND(N2=$D$27,NOT(ISBLANK($D$27)))</formula>
    </cfRule>
    <cfRule type="expression" dxfId="292" priority="144">
      <formula>AND(N2=$D$28,NOT(ISBLANK($D$28)))</formula>
    </cfRule>
    <cfRule type="expression" dxfId="291" priority="145">
      <formula>AND(N2=$D$29,NOT(ISBLANK($D$29)))</formula>
    </cfRule>
    <cfRule type="expression" dxfId="290" priority="146">
      <formula>AND(N2=$D$30,NOT(ISBLANK($D$30)))</formula>
    </cfRule>
    <cfRule type="expression" dxfId="289" priority="147">
      <formula>AND(N2=$D$31,NOT(ISBLANK($D$31)))</formula>
    </cfRule>
    <cfRule type="expression" dxfId="288" priority="148">
      <formula>AND(N2=$D$32,NOT(ISBLANK($D$32)))</formula>
    </cfRule>
    <cfRule type="expression" dxfId="287" priority="149">
      <formula>AND(N2=$D$33,NOT(ISBLANK($D$33)))</formula>
    </cfRule>
    <cfRule type="expression" dxfId="286" priority="151">
      <formula>AND(N2=$D$34,NOT(ISBLANK($D$34)))</formula>
    </cfRule>
    <cfRule type="expression" dxfId="285" priority="152">
      <formula>AND(N2=$D$35,NOT(ISBLANK($D$35)))</formula>
    </cfRule>
    <cfRule type="expression" dxfId="284" priority="153">
      <formula>AND(N2=$D$36,NOT(ISBLANK($D$36)))</formula>
    </cfRule>
  </conditionalFormatting>
  <conditionalFormatting sqref="M2:M25">
    <cfRule type="expression" dxfId="283" priority="32">
      <formula>AND(M2=$D$27,NOT(ISBLANK($D$27)))</formula>
    </cfRule>
    <cfRule type="expression" dxfId="282" priority="33">
      <formula>AND(M2=$D$28,NOT(ISBLANK($D$28)))</formula>
    </cfRule>
    <cfRule type="expression" dxfId="281" priority="34">
      <formula>AND(M2=$D$29,NOT(ISBLANK($D$29)))</formula>
    </cfRule>
    <cfRule type="expression" dxfId="280" priority="35">
      <formula>AND(M2=$D$30,NOT(ISBLANK($D$30)))</formula>
    </cfRule>
    <cfRule type="expression" dxfId="279" priority="36">
      <formula>AND(M2=$D$31,NOT(ISBLANK($D$31)))</formula>
    </cfRule>
    <cfRule type="expression" dxfId="278" priority="37">
      <formula>AND(M2=$D$32,NOT(ISBLANK($D$32)))</formula>
    </cfRule>
    <cfRule type="expression" dxfId="277" priority="38">
      <formula>AND(M2=$D$33,NOT(ISBLANK($D$33)))</formula>
    </cfRule>
    <cfRule type="expression" dxfId="276" priority="39">
      <formula>AND(M2=$D$34,NOT(ISBLANK($D$34)))</formula>
    </cfRule>
    <cfRule type="expression" dxfId="275" priority="40">
      <formula>AND(M2=$D$35,NOT(ISBLANK($D$35)))</formula>
    </cfRule>
    <cfRule type="expression" dxfId="274" priority="41">
      <formula>AND(M2=$D$36,NOT(ISBLANK($D$36)))</formula>
    </cfRule>
  </conditionalFormatting>
  <conditionalFormatting sqref="O2:O25">
    <cfRule type="expression" dxfId="273" priority="22">
      <formula>AND(O2=$D$27,NOT(ISBLANK($D$27)))</formula>
    </cfRule>
    <cfRule type="expression" dxfId="272" priority="23">
      <formula>AND(O2=$D$28,NOT(ISBLANK($D$28)))</formula>
    </cfRule>
    <cfRule type="expression" dxfId="271" priority="24">
      <formula>AND(O2=$D$29,NOT(ISBLANK($D$29)))</formula>
    </cfRule>
    <cfRule type="expression" dxfId="270" priority="25">
      <formula>AND(O2=$D$30,NOT(ISBLANK($D$30)))</formula>
    </cfRule>
    <cfRule type="expression" dxfId="269" priority="26">
      <formula>AND(O2=$D$31,NOT(ISBLANK($D$31)))</formula>
    </cfRule>
    <cfRule type="expression" dxfId="268" priority="27">
      <formula>AND(O2=$D$32,NOT(ISBLANK($D$32)))</formula>
    </cfRule>
    <cfRule type="expression" dxfId="267" priority="28">
      <formula>AND(O2=$D$33,NOT(ISBLANK($D$33)))</formula>
    </cfRule>
    <cfRule type="expression" dxfId="266" priority="29">
      <formula>AND(O2=$D$34,NOT(ISBLANK($D$34)))</formula>
    </cfRule>
    <cfRule type="expression" dxfId="265" priority="30">
      <formula>AND(O2=$D$35,NOT(ISBLANK($D$35)))</formula>
    </cfRule>
    <cfRule type="expression" dxfId="264" priority="31">
      <formula>AND(O2=$D$36,NOT(ISBLANK($D$36)))</formula>
    </cfRule>
  </conditionalFormatting>
  <conditionalFormatting sqref="Q2:Q25">
    <cfRule type="expression" dxfId="263" priority="12">
      <formula>AND(Q2=$D$27,NOT(ISBLANK($D$27)))</formula>
    </cfRule>
    <cfRule type="expression" dxfId="262" priority="13">
      <formula>AND(Q2=$D$28,NOT(ISBLANK($D$28)))</formula>
    </cfRule>
    <cfRule type="expression" dxfId="261" priority="14">
      <formula>AND(Q2=$D$29,NOT(ISBLANK($D$29)))</formula>
    </cfRule>
    <cfRule type="expression" dxfId="260" priority="15">
      <formula>AND(Q2=$D$30,NOT(ISBLANK($D$30)))</formula>
    </cfRule>
    <cfRule type="expression" dxfId="259" priority="16">
      <formula>AND(Q2=$D$31,NOT(ISBLANK($D$31)))</formula>
    </cfRule>
    <cfRule type="expression" dxfId="258" priority="17">
      <formula>AND(Q2=$D$32,NOT(ISBLANK($D$32)))</formula>
    </cfRule>
    <cfRule type="expression" dxfId="257" priority="18">
      <formula>AND(Q2=$D$33,NOT(ISBLANK($D$33)))</formula>
    </cfRule>
    <cfRule type="expression" dxfId="256" priority="19">
      <formula>AND(Q2=$D$34,NOT(ISBLANK($D$34)))</formula>
    </cfRule>
    <cfRule type="expression" dxfId="255" priority="20">
      <formula>AND(Q2=$D$35,NOT(ISBLANK($D$35)))</formula>
    </cfRule>
    <cfRule type="expression" dxfId="254" priority="21">
      <formula>AND(Q2=$D$36,NOT(ISBLANK($D$36)))</formula>
    </cfRule>
  </conditionalFormatting>
  <conditionalFormatting sqref="L2:L25">
    <cfRule type="expression" dxfId="253" priority="52">
      <formula>AND(L2=$D$27,NOT(ISBLANK($D$27)))</formula>
    </cfRule>
    <cfRule type="expression" dxfId="252" priority="53">
      <formula>AND(L2=$D$28,NOT(ISBLANK($D$28)))</formula>
    </cfRule>
    <cfRule type="expression" dxfId="251" priority="54">
      <formula>AND(L2=$D$29,NOT(ISBLANK($D$29)))</formula>
    </cfRule>
    <cfRule type="expression" dxfId="250" priority="55">
      <formula>AND(L2=$D$30,NOT(ISBLANK($D$30)))</formula>
    </cfRule>
    <cfRule type="expression" dxfId="249" priority="56">
      <formula>AND(L2=$D$31,NOT(ISBLANK($D$31)))</formula>
    </cfRule>
    <cfRule type="expression" dxfId="248" priority="57">
      <formula>AND(L2=$D$32,NOT(ISBLANK($D$32)))</formula>
    </cfRule>
    <cfRule type="expression" dxfId="247" priority="58">
      <formula>AND(L2=$D$33,NOT(ISBLANK($D$33)))</formula>
    </cfRule>
    <cfRule type="expression" dxfId="246" priority="59">
      <formula>AND(L2=$D$34,NOT(ISBLANK($D$34)))</formula>
    </cfRule>
    <cfRule type="expression" dxfId="245" priority="60">
      <formula>AND(L2=$D$35,NOT(ISBLANK($D$35)))</formula>
    </cfRule>
    <cfRule type="expression" dxfId="244" priority="61">
      <formula>AND(L2=$D$36,NOT(ISBLANK($D$36)))</formula>
    </cfRule>
  </conditionalFormatting>
  <conditionalFormatting sqref="K2:K25">
    <cfRule type="expression" dxfId="243" priority="42">
      <formula>AND(K2=$D$27,NOT(ISBLANK($D$27)))</formula>
    </cfRule>
    <cfRule type="expression" dxfId="242" priority="43">
      <formula>AND(K2=$D$28,NOT(ISBLANK($D$28)))</formula>
    </cfRule>
    <cfRule type="expression" dxfId="241" priority="44">
      <formula>AND(K2=$D$29,NOT(ISBLANK($D$29)))</formula>
    </cfRule>
    <cfRule type="expression" dxfId="240" priority="45">
      <formula>AND(K2=$D$30,NOT(ISBLANK($D$30)))</formula>
    </cfRule>
    <cfRule type="expression" dxfId="239" priority="46">
      <formula>AND(K2=$D$31,NOT(ISBLANK($D$31)))</formula>
    </cfRule>
    <cfRule type="expression" dxfId="238" priority="47">
      <formula>AND(K2=$D$32,NOT(ISBLANK($D$32)))</formula>
    </cfRule>
    <cfRule type="expression" dxfId="237" priority="48">
      <formula>AND(K2=$D$33,NOT(ISBLANK($D$33)))</formula>
    </cfRule>
    <cfRule type="expression" dxfId="236" priority="49">
      <formula>AND(K2=$D$34,NOT(ISBLANK($D$34)))</formula>
    </cfRule>
    <cfRule type="expression" dxfId="235" priority="50">
      <formula>AND(K2=$D$35,NOT(ISBLANK($D$35)))</formula>
    </cfRule>
    <cfRule type="expression" dxfId="234" priority="51">
      <formula>AND(K2=$D$36,NOT(ISBLANK($D$36)))</formula>
    </cfRule>
  </conditionalFormatting>
  <conditionalFormatting sqref="D27:D36">
    <cfRule type="expression" dxfId="233" priority="2">
      <formula>AND(D27=$D$27,NOT(ISBLANK($D$27)))</formula>
    </cfRule>
    <cfRule type="expression" dxfId="232" priority="3">
      <formula>AND(D27=$D$28,NOT(ISBLANK($D$28)))</formula>
    </cfRule>
    <cfRule type="expression" dxfId="231" priority="4">
      <formula>AND(D27=$D$29,NOT(ISBLANK($D$29)))</formula>
    </cfRule>
    <cfRule type="expression" dxfId="230" priority="5">
      <formula>AND(D27=$D$30,NOT(ISBLANK($D$30)))</formula>
    </cfRule>
    <cfRule type="expression" dxfId="229" priority="6">
      <formula>AND(D27=$D$31,NOT(ISBLANK($D$31)))</formula>
    </cfRule>
    <cfRule type="expression" dxfId="228" priority="7">
      <formula>AND(D27=$D$32,NOT(ISBLANK($D$32)))</formula>
    </cfRule>
    <cfRule type="expression" dxfId="227" priority="8">
      <formula>AND(D27=$D$33,NOT(ISBLANK($D$33)))</formula>
    </cfRule>
    <cfRule type="expression" dxfId="226" priority="9">
      <formula>AND(D27=$D$34,NOT(ISBLANK($D$34)))</formula>
    </cfRule>
    <cfRule type="expression" dxfId="225" priority="10">
      <formula>AND(D27=$D$35,NOT(ISBLANK($D$35)))</formula>
    </cfRule>
    <cfRule type="expression" dxfId="224" priority="11">
      <formula>AND(D27=$D$36,NOT(ISBLANK($D$36)))</formula>
    </cfRule>
  </conditionalFormatting>
  <conditionalFormatting sqref="D27:D36">
    <cfRule type="expression" dxfId="223" priority="1">
      <formula>ISBLANK(D27)</formula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36"/>
  <sheetViews>
    <sheetView workbookViewId="0">
      <selection activeCell="B2" sqref="B2"/>
    </sheetView>
  </sheetViews>
  <sheetFormatPr baseColWidth="10" defaultRowHeight="18" customHeight="1" x14ac:dyDescent="0.2"/>
  <cols>
    <col min="1" max="1" width="3.1640625" bestFit="1" customWidth="1"/>
    <col min="2" max="2" width="9.5" customWidth="1"/>
    <col min="3" max="3" width="3.1640625" bestFit="1" customWidth="1"/>
    <col min="4" max="4" width="9.5" customWidth="1"/>
    <col min="5" max="5" width="3.1640625" bestFit="1" customWidth="1"/>
    <col min="6" max="6" width="9.5" customWidth="1"/>
    <col min="7" max="7" width="4.1640625" bestFit="1" customWidth="1"/>
    <col min="8" max="8" width="9.5" customWidth="1"/>
    <col min="10" max="10" width="7.1640625" style="25" bestFit="1" customWidth="1"/>
    <col min="11" max="11" width="9.33203125" customWidth="1"/>
    <col min="12" max="12" width="7.1640625" style="26" bestFit="1" customWidth="1"/>
    <col min="13" max="13" width="9.33203125" customWidth="1"/>
    <col min="14" max="14" width="7.1640625" style="26" bestFit="1" customWidth="1"/>
    <col min="15" max="15" width="9.33203125" customWidth="1"/>
    <col min="16" max="16" width="8.5" style="26" bestFit="1" customWidth="1"/>
    <col min="17" max="17" width="9.33203125" customWidth="1"/>
  </cols>
  <sheetData>
    <row r="1" spans="1:18" s="22" customFormat="1" ht="18" customHeight="1" thickBot="1" x14ac:dyDescent="0.25">
      <c r="A1" s="89" t="s">
        <v>0</v>
      </c>
      <c r="B1" s="65" t="s">
        <v>3</v>
      </c>
      <c r="C1" s="64" t="s">
        <v>0</v>
      </c>
      <c r="D1" s="63" t="str">
        <f>$B$1</f>
        <v>gene2</v>
      </c>
      <c r="E1" s="62" t="s">
        <v>0</v>
      </c>
      <c r="F1" s="63" t="str">
        <f t="shared" ref="F1" si="0">$B$1</f>
        <v>gene2</v>
      </c>
      <c r="G1" s="62" t="s">
        <v>0</v>
      </c>
      <c r="H1" s="63" t="str">
        <f t="shared" ref="H1" si="1">$B$1</f>
        <v>gene2</v>
      </c>
      <c r="I1" s="21"/>
      <c r="J1" s="20" t="s">
        <v>0</v>
      </c>
      <c r="K1" s="97" t="str">
        <f>$B$1</f>
        <v>gene2</v>
      </c>
      <c r="L1" s="95" t="s">
        <v>0</v>
      </c>
      <c r="M1" s="97" t="str">
        <f t="shared" ref="M1" si="2">$B$1</f>
        <v>gene2</v>
      </c>
      <c r="N1" s="95" t="s">
        <v>0</v>
      </c>
      <c r="O1" s="97" t="str">
        <f t="shared" ref="O1" si="3">$B$1</f>
        <v>gene2</v>
      </c>
      <c r="P1" s="96" t="s">
        <v>0</v>
      </c>
      <c r="Q1" s="98" t="str">
        <f t="shared" ref="Q1" si="4">$B$1</f>
        <v>gene2</v>
      </c>
    </row>
    <row r="2" spans="1:18" ht="18" customHeight="1" x14ac:dyDescent="0.2">
      <c r="A2" s="66">
        <v>1</v>
      </c>
      <c r="B2" s="67"/>
      <c r="C2" s="68">
        <v>25</v>
      </c>
      <c r="D2" s="67"/>
      <c r="E2" s="68">
        <v>49</v>
      </c>
      <c r="F2" s="67"/>
      <c r="G2" s="68">
        <v>73</v>
      </c>
      <c r="H2" s="67"/>
      <c r="I2" s="69"/>
      <c r="J2" s="53" t="s">
        <v>5</v>
      </c>
      <c r="K2" s="70" t="str">
        <f>IF(B2="","",IFERROR(INDEX($D$27:$D$36,MAX(_xlfn.IFNA(MATCH(B2,$D$27:$D$36,0),-1),_xlfn.IFNA(MATCH(B2,$C$27:$C$36,0),-1),_xlfn.IFNA(MATCH(B2,$B$27:$B$36,0),-1)),1),B2))</f>
        <v/>
      </c>
      <c r="L2" s="53" t="s">
        <v>6</v>
      </c>
      <c r="M2" s="70" t="str">
        <f>IF(D2="","",IFERROR(INDEX($D$27:$D$36,MAX(_xlfn.IFNA(MATCH(D2,$D$27:$D$36,0),-1),_xlfn.IFNA(MATCH(D2,$C$27:$C$36,0),-1),_xlfn.IFNA(MATCH(D2,$B$27:$B$36,0),-1)),1),D2))</f>
        <v/>
      </c>
      <c r="N2" s="53" t="s">
        <v>7</v>
      </c>
      <c r="O2" s="70" t="str">
        <f>IF(F2="","",IFERROR(INDEX($D$27:$D$36,MAX(_xlfn.IFNA(MATCH(F2,$D$27:$D$36,0),-1),_xlfn.IFNA(MATCH(F2,$C$27:$C$36,0),-1),_xlfn.IFNA(MATCH(F2,$B$27:$B$36,0),-1)),1),F2))</f>
        <v/>
      </c>
      <c r="P2" s="53" t="s">
        <v>8</v>
      </c>
      <c r="Q2" s="70" t="str">
        <f>IF(H2="","",IFERROR(INDEX($D$27:$D$36,MAX(_xlfn.IFNA(MATCH(H2,$D$27:$D$36,0),-1),_xlfn.IFNA(MATCH(H2,$C$27:$C$36,0),-1),_xlfn.IFNA(MATCH(H2,$B$27:$B$36,0),-1)),1),H2))</f>
        <v/>
      </c>
    </row>
    <row r="3" spans="1:18" ht="18" customHeight="1" x14ac:dyDescent="0.2">
      <c r="A3" s="66">
        <v>2</v>
      </c>
      <c r="B3" s="71"/>
      <c r="C3" s="68">
        <v>26</v>
      </c>
      <c r="D3" s="71"/>
      <c r="E3" s="68">
        <v>50</v>
      </c>
      <c r="F3" s="71"/>
      <c r="G3" s="68">
        <v>74</v>
      </c>
      <c r="H3" s="71"/>
      <c r="I3" s="69"/>
      <c r="J3" s="55" t="s">
        <v>9</v>
      </c>
      <c r="K3" s="72" t="str">
        <f t="shared" ref="K3:Q25" si="5">IF(B3="","",IFERROR(INDEX($D$27:$D$36,MAX(_xlfn.IFNA(MATCH(B3,$D$27:$D$36,0),-1),_xlfn.IFNA(MATCH(B3,$C$27:$C$36,0),-1),_xlfn.IFNA(MATCH(B3,$B$27:$B$36,0),-1)),1),B3))</f>
        <v/>
      </c>
      <c r="L3" s="55" t="s">
        <v>10</v>
      </c>
      <c r="M3" s="72" t="str">
        <f t="shared" si="5"/>
        <v/>
      </c>
      <c r="N3" s="55" t="s">
        <v>11</v>
      </c>
      <c r="O3" s="72" t="str">
        <f t="shared" si="5"/>
        <v/>
      </c>
      <c r="P3" s="55" t="s">
        <v>12</v>
      </c>
      <c r="Q3" s="72" t="str">
        <f t="shared" si="5"/>
        <v/>
      </c>
    </row>
    <row r="4" spans="1:18" ht="18" customHeight="1" x14ac:dyDescent="0.2">
      <c r="A4" s="66">
        <v>3</v>
      </c>
      <c r="B4" s="71"/>
      <c r="C4" s="68">
        <v>27</v>
      </c>
      <c r="D4" s="71"/>
      <c r="E4" s="68">
        <v>51</v>
      </c>
      <c r="F4" s="71"/>
      <c r="G4" s="68">
        <v>75</v>
      </c>
      <c r="H4" s="71"/>
      <c r="I4" s="69"/>
      <c r="J4" s="55" t="s">
        <v>13</v>
      </c>
      <c r="K4" s="72" t="str">
        <f t="shared" si="5"/>
        <v/>
      </c>
      <c r="L4" s="55" t="s">
        <v>14</v>
      </c>
      <c r="M4" s="72" t="str">
        <f t="shared" si="5"/>
        <v/>
      </c>
      <c r="N4" s="55" t="s">
        <v>15</v>
      </c>
      <c r="O4" s="72" t="str">
        <f t="shared" si="5"/>
        <v/>
      </c>
      <c r="P4" s="55" t="s">
        <v>16</v>
      </c>
      <c r="Q4" s="72" t="str">
        <f t="shared" si="5"/>
        <v/>
      </c>
    </row>
    <row r="5" spans="1:18" ht="18" customHeight="1" x14ac:dyDescent="0.2">
      <c r="A5" s="66">
        <v>4</v>
      </c>
      <c r="B5" s="71"/>
      <c r="C5" s="68">
        <v>28</v>
      </c>
      <c r="D5" s="71"/>
      <c r="E5" s="68">
        <v>52</v>
      </c>
      <c r="F5" s="71"/>
      <c r="G5" s="68">
        <v>76</v>
      </c>
      <c r="H5" s="71"/>
      <c r="I5" s="69"/>
      <c r="J5" s="55" t="s">
        <v>17</v>
      </c>
      <c r="K5" s="72" t="str">
        <f t="shared" si="5"/>
        <v/>
      </c>
      <c r="L5" s="55" t="s">
        <v>18</v>
      </c>
      <c r="M5" s="72" t="str">
        <f t="shared" si="5"/>
        <v/>
      </c>
      <c r="N5" s="55" t="s">
        <v>19</v>
      </c>
      <c r="O5" s="72" t="str">
        <f t="shared" si="5"/>
        <v/>
      </c>
      <c r="P5" s="55" t="s">
        <v>20</v>
      </c>
      <c r="Q5" s="72" t="str">
        <f t="shared" si="5"/>
        <v/>
      </c>
    </row>
    <row r="6" spans="1:18" ht="18" customHeight="1" x14ac:dyDescent="0.2">
      <c r="A6" s="66">
        <v>5</v>
      </c>
      <c r="B6" s="71"/>
      <c r="C6" s="68">
        <v>29</v>
      </c>
      <c r="D6" s="71"/>
      <c r="E6" s="68">
        <v>53</v>
      </c>
      <c r="F6" s="71"/>
      <c r="G6" s="68">
        <v>77</v>
      </c>
      <c r="H6" s="71"/>
      <c r="I6" s="69"/>
      <c r="J6" s="55" t="s">
        <v>89</v>
      </c>
      <c r="K6" s="72" t="str">
        <f t="shared" si="5"/>
        <v/>
      </c>
      <c r="L6" s="55" t="s">
        <v>95</v>
      </c>
      <c r="M6" s="72" t="str">
        <f t="shared" si="5"/>
        <v/>
      </c>
      <c r="N6" s="55" t="s">
        <v>96</v>
      </c>
      <c r="O6" s="72" t="str">
        <f t="shared" si="5"/>
        <v/>
      </c>
      <c r="P6" s="55" t="s">
        <v>97</v>
      </c>
      <c r="Q6" s="72" t="str">
        <f t="shared" si="5"/>
        <v/>
      </c>
    </row>
    <row r="7" spans="1:18" ht="18" customHeight="1" x14ac:dyDescent="0.2">
      <c r="A7" s="66">
        <v>6</v>
      </c>
      <c r="B7" s="71"/>
      <c r="C7" s="68">
        <v>30</v>
      </c>
      <c r="D7" s="71"/>
      <c r="E7" s="68">
        <v>54</v>
      </c>
      <c r="F7" s="71"/>
      <c r="G7" s="68">
        <v>78</v>
      </c>
      <c r="H7" s="71"/>
      <c r="I7" s="69"/>
      <c r="J7" s="55" t="s">
        <v>21</v>
      </c>
      <c r="K7" s="72" t="str">
        <f t="shared" si="5"/>
        <v/>
      </c>
      <c r="L7" s="55" t="s">
        <v>22</v>
      </c>
      <c r="M7" s="72" t="str">
        <f t="shared" si="5"/>
        <v/>
      </c>
      <c r="N7" s="55" t="s">
        <v>23</v>
      </c>
      <c r="O7" s="72" t="str">
        <f t="shared" si="5"/>
        <v/>
      </c>
      <c r="P7" s="55" t="s">
        <v>24</v>
      </c>
      <c r="Q7" s="72" t="str">
        <f t="shared" si="5"/>
        <v/>
      </c>
    </row>
    <row r="8" spans="1:18" ht="18" customHeight="1" x14ac:dyDescent="0.2">
      <c r="A8" s="66">
        <v>7</v>
      </c>
      <c r="B8" s="71"/>
      <c r="C8" s="68">
        <v>31</v>
      </c>
      <c r="D8" s="71"/>
      <c r="E8" s="68">
        <v>55</v>
      </c>
      <c r="F8" s="71"/>
      <c r="G8" s="68">
        <v>79</v>
      </c>
      <c r="H8" s="71"/>
      <c r="I8" s="69"/>
      <c r="J8" s="55" t="s">
        <v>25</v>
      </c>
      <c r="K8" s="72" t="str">
        <f t="shared" si="5"/>
        <v/>
      </c>
      <c r="L8" s="55" t="s">
        <v>26</v>
      </c>
      <c r="M8" s="72" t="str">
        <f t="shared" si="5"/>
        <v/>
      </c>
      <c r="N8" s="55" t="s">
        <v>27</v>
      </c>
      <c r="O8" s="72" t="str">
        <f t="shared" si="5"/>
        <v/>
      </c>
      <c r="P8" s="55" t="s">
        <v>28</v>
      </c>
      <c r="Q8" s="72" t="str">
        <f t="shared" si="5"/>
        <v/>
      </c>
      <c r="R8" s="26"/>
    </row>
    <row r="9" spans="1:18" ht="18" customHeight="1" thickBot="1" x14ac:dyDescent="0.25">
      <c r="A9" s="73">
        <v>8</v>
      </c>
      <c r="B9" s="74"/>
      <c r="C9" s="75">
        <v>32</v>
      </c>
      <c r="D9" s="74"/>
      <c r="E9" s="75">
        <v>56</v>
      </c>
      <c r="F9" s="74"/>
      <c r="G9" s="75">
        <v>80</v>
      </c>
      <c r="H9" s="74"/>
      <c r="I9" s="69"/>
      <c r="J9" s="57" t="s">
        <v>29</v>
      </c>
      <c r="K9" s="76" t="str">
        <f t="shared" si="5"/>
        <v/>
      </c>
      <c r="L9" s="57" t="s">
        <v>30</v>
      </c>
      <c r="M9" s="76" t="str">
        <f t="shared" si="5"/>
        <v/>
      </c>
      <c r="N9" s="57" t="s">
        <v>31</v>
      </c>
      <c r="O9" s="76" t="str">
        <f t="shared" si="5"/>
        <v/>
      </c>
      <c r="P9" s="57" t="s">
        <v>32</v>
      </c>
      <c r="Q9" s="76" t="str">
        <f t="shared" si="5"/>
        <v/>
      </c>
    </row>
    <row r="10" spans="1:18" ht="18" customHeight="1" x14ac:dyDescent="0.2">
      <c r="A10" s="66">
        <v>9</v>
      </c>
      <c r="B10" s="77"/>
      <c r="C10" s="68">
        <v>33</v>
      </c>
      <c r="D10" s="77"/>
      <c r="E10" s="68">
        <v>57</v>
      </c>
      <c r="F10" s="77"/>
      <c r="G10" s="68">
        <v>81</v>
      </c>
      <c r="H10" s="77"/>
      <c r="I10" s="69"/>
      <c r="J10" s="53" t="s">
        <v>33</v>
      </c>
      <c r="K10" s="70" t="str">
        <f t="shared" si="5"/>
        <v/>
      </c>
      <c r="L10" s="53" t="s">
        <v>34</v>
      </c>
      <c r="M10" s="70" t="str">
        <f t="shared" si="5"/>
        <v/>
      </c>
      <c r="N10" s="53" t="s">
        <v>35</v>
      </c>
      <c r="O10" s="70" t="str">
        <f t="shared" si="5"/>
        <v/>
      </c>
      <c r="P10" s="53" t="s">
        <v>36</v>
      </c>
      <c r="Q10" s="70" t="str">
        <f t="shared" si="5"/>
        <v/>
      </c>
    </row>
    <row r="11" spans="1:18" ht="18" customHeight="1" x14ac:dyDescent="0.2">
      <c r="A11" s="66">
        <v>10</v>
      </c>
      <c r="B11" s="71"/>
      <c r="C11" s="68">
        <v>34</v>
      </c>
      <c r="D11" s="71"/>
      <c r="E11" s="68">
        <v>58</v>
      </c>
      <c r="F11" s="71"/>
      <c r="G11" s="68">
        <v>82</v>
      </c>
      <c r="H11" s="71"/>
      <c r="I11" s="69"/>
      <c r="J11" s="55" t="s">
        <v>37</v>
      </c>
      <c r="K11" s="72" t="str">
        <f t="shared" si="5"/>
        <v/>
      </c>
      <c r="L11" s="55" t="s">
        <v>38</v>
      </c>
      <c r="M11" s="72" t="str">
        <f t="shared" si="5"/>
        <v/>
      </c>
      <c r="N11" s="55" t="s">
        <v>39</v>
      </c>
      <c r="O11" s="72" t="str">
        <f t="shared" si="5"/>
        <v/>
      </c>
      <c r="P11" s="55" t="s">
        <v>40</v>
      </c>
      <c r="Q11" s="72" t="str">
        <f t="shared" si="5"/>
        <v/>
      </c>
    </row>
    <row r="12" spans="1:18" ht="18" customHeight="1" x14ac:dyDescent="0.2">
      <c r="A12" s="66">
        <v>11</v>
      </c>
      <c r="B12" s="71"/>
      <c r="C12" s="68">
        <v>35</v>
      </c>
      <c r="D12" s="71"/>
      <c r="E12" s="68">
        <v>59</v>
      </c>
      <c r="F12" s="71"/>
      <c r="G12" s="68">
        <v>83</v>
      </c>
      <c r="H12" s="71"/>
      <c r="I12" s="69"/>
      <c r="J12" s="55" t="s">
        <v>41</v>
      </c>
      <c r="K12" s="72" t="str">
        <f t="shared" si="5"/>
        <v/>
      </c>
      <c r="L12" s="55" t="s">
        <v>42</v>
      </c>
      <c r="M12" s="72" t="str">
        <f t="shared" si="5"/>
        <v/>
      </c>
      <c r="N12" s="55" t="s">
        <v>43</v>
      </c>
      <c r="O12" s="72" t="str">
        <f t="shared" si="5"/>
        <v/>
      </c>
      <c r="P12" s="55" t="s">
        <v>44</v>
      </c>
      <c r="Q12" s="72" t="str">
        <f t="shared" si="5"/>
        <v/>
      </c>
    </row>
    <row r="13" spans="1:18" ht="18" customHeight="1" x14ac:dyDescent="0.2">
      <c r="A13" s="66">
        <v>12</v>
      </c>
      <c r="B13" s="71"/>
      <c r="C13" s="68">
        <v>36</v>
      </c>
      <c r="D13" s="71"/>
      <c r="E13" s="68">
        <v>60</v>
      </c>
      <c r="F13" s="71"/>
      <c r="G13" s="68">
        <v>84</v>
      </c>
      <c r="H13" s="71"/>
      <c r="I13" s="69"/>
      <c r="J13" s="55" t="s">
        <v>45</v>
      </c>
      <c r="K13" s="72" t="str">
        <f t="shared" si="5"/>
        <v/>
      </c>
      <c r="L13" s="55" t="s">
        <v>46</v>
      </c>
      <c r="M13" s="72" t="str">
        <f t="shared" si="5"/>
        <v/>
      </c>
      <c r="N13" s="55" t="s">
        <v>47</v>
      </c>
      <c r="O13" s="72" t="str">
        <f t="shared" si="5"/>
        <v/>
      </c>
      <c r="P13" s="55" t="s">
        <v>48</v>
      </c>
      <c r="Q13" s="72" t="str">
        <f t="shared" si="5"/>
        <v/>
      </c>
    </row>
    <row r="14" spans="1:18" ht="18" customHeight="1" x14ac:dyDescent="0.2">
      <c r="A14" s="66">
        <v>13</v>
      </c>
      <c r="B14" s="71"/>
      <c r="C14" s="68">
        <v>37</v>
      </c>
      <c r="D14" s="71"/>
      <c r="E14" s="68">
        <v>61</v>
      </c>
      <c r="F14" s="71"/>
      <c r="G14" s="68">
        <v>85</v>
      </c>
      <c r="H14" s="71"/>
      <c r="I14" s="69"/>
      <c r="J14" s="55" t="s">
        <v>90</v>
      </c>
      <c r="K14" s="72" t="str">
        <f t="shared" si="5"/>
        <v/>
      </c>
      <c r="L14" s="55" t="s">
        <v>98</v>
      </c>
      <c r="M14" s="72" t="str">
        <f t="shared" si="5"/>
        <v/>
      </c>
      <c r="N14" s="55" t="s">
        <v>99</v>
      </c>
      <c r="O14" s="72" t="str">
        <f t="shared" si="5"/>
        <v/>
      </c>
      <c r="P14" s="55" t="s">
        <v>100</v>
      </c>
      <c r="Q14" s="72" t="str">
        <f t="shared" si="5"/>
        <v/>
      </c>
    </row>
    <row r="15" spans="1:18" ht="18" customHeight="1" x14ac:dyDescent="0.2">
      <c r="A15" s="66">
        <v>14</v>
      </c>
      <c r="B15" s="71"/>
      <c r="C15" s="68">
        <v>38</v>
      </c>
      <c r="D15" s="71"/>
      <c r="E15" s="68">
        <v>62</v>
      </c>
      <c r="F15" s="71"/>
      <c r="G15" s="68">
        <v>86</v>
      </c>
      <c r="H15" s="71"/>
      <c r="I15" s="69"/>
      <c r="J15" s="55" t="s">
        <v>49</v>
      </c>
      <c r="K15" s="72" t="str">
        <f t="shared" si="5"/>
        <v/>
      </c>
      <c r="L15" s="55" t="s">
        <v>50</v>
      </c>
      <c r="M15" s="72" t="str">
        <f t="shared" si="5"/>
        <v/>
      </c>
      <c r="N15" s="55" t="s">
        <v>51</v>
      </c>
      <c r="O15" s="72" t="str">
        <f t="shared" si="5"/>
        <v/>
      </c>
      <c r="P15" s="55" t="s">
        <v>52</v>
      </c>
      <c r="Q15" s="72" t="str">
        <f t="shared" si="5"/>
        <v/>
      </c>
    </row>
    <row r="16" spans="1:18" ht="18" customHeight="1" x14ac:dyDescent="0.2">
      <c r="A16" s="66">
        <v>15</v>
      </c>
      <c r="B16" s="71"/>
      <c r="C16" s="68">
        <v>39</v>
      </c>
      <c r="D16" s="71"/>
      <c r="E16" s="68">
        <v>63</v>
      </c>
      <c r="F16" s="71"/>
      <c r="G16" s="68">
        <v>87</v>
      </c>
      <c r="H16" s="71"/>
      <c r="I16" s="69"/>
      <c r="J16" s="55" t="s">
        <v>53</v>
      </c>
      <c r="K16" s="72" t="str">
        <f t="shared" si="5"/>
        <v/>
      </c>
      <c r="L16" s="55" t="s">
        <v>54</v>
      </c>
      <c r="M16" s="72" t="str">
        <f t="shared" si="5"/>
        <v/>
      </c>
      <c r="N16" s="55" t="s">
        <v>55</v>
      </c>
      <c r="O16" s="72" t="str">
        <f t="shared" si="5"/>
        <v/>
      </c>
      <c r="P16" s="55" t="s">
        <v>56</v>
      </c>
      <c r="Q16" s="72" t="str">
        <f t="shared" si="5"/>
        <v/>
      </c>
    </row>
    <row r="17" spans="1:17" ht="18" customHeight="1" thickBot="1" x14ac:dyDescent="0.25">
      <c r="A17" s="73">
        <v>16</v>
      </c>
      <c r="B17" s="74"/>
      <c r="C17" s="75">
        <v>40</v>
      </c>
      <c r="D17" s="74"/>
      <c r="E17" s="75">
        <v>64</v>
      </c>
      <c r="F17" s="74"/>
      <c r="G17" s="75">
        <v>88</v>
      </c>
      <c r="H17" s="74"/>
      <c r="I17" s="69"/>
      <c r="J17" s="57" t="s">
        <v>57</v>
      </c>
      <c r="K17" s="76" t="str">
        <f t="shared" si="5"/>
        <v/>
      </c>
      <c r="L17" s="57" t="s">
        <v>58</v>
      </c>
      <c r="M17" s="76" t="str">
        <f t="shared" si="5"/>
        <v/>
      </c>
      <c r="N17" s="57" t="s">
        <v>59</v>
      </c>
      <c r="O17" s="76" t="str">
        <f t="shared" si="5"/>
        <v/>
      </c>
      <c r="P17" s="57" t="s">
        <v>60</v>
      </c>
      <c r="Q17" s="76" t="str">
        <f t="shared" si="5"/>
        <v/>
      </c>
    </row>
    <row r="18" spans="1:17" ht="18" customHeight="1" x14ac:dyDescent="0.2">
      <c r="A18" s="66">
        <v>17</v>
      </c>
      <c r="B18" s="77"/>
      <c r="C18" s="68">
        <v>41</v>
      </c>
      <c r="D18" s="77"/>
      <c r="E18" s="68">
        <v>65</v>
      </c>
      <c r="F18" s="77"/>
      <c r="G18" s="68">
        <v>89</v>
      </c>
      <c r="H18" s="77"/>
      <c r="I18" s="69"/>
      <c r="J18" s="53" t="s">
        <v>61</v>
      </c>
      <c r="K18" s="70" t="str">
        <f t="shared" si="5"/>
        <v/>
      </c>
      <c r="L18" s="53" t="s">
        <v>62</v>
      </c>
      <c r="M18" s="70" t="str">
        <f t="shared" si="5"/>
        <v/>
      </c>
      <c r="N18" s="53" t="s">
        <v>63</v>
      </c>
      <c r="O18" s="70" t="str">
        <f t="shared" si="5"/>
        <v/>
      </c>
      <c r="P18" s="53" t="s">
        <v>64</v>
      </c>
      <c r="Q18" s="70" t="str">
        <f t="shared" si="5"/>
        <v/>
      </c>
    </row>
    <row r="19" spans="1:17" ht="18" customHeight="1" x14ac:dyDescent="0.2">
      <c r="A19" s="66">
        <v>18</v>
      </c>
      <c r="B19" s="71"/>
      <c r="C19" s="68">
        <v>42</v>
      </c>
      <c r="D19" s="71"/>
      <c r="E19" s="68">
        <v>66</v>
      </c>
      <c r="F19" s="71"/>
      <c r="G19" s="68">
        <v>90</v>
      </c>
      <c r="H19" s="71"/>
      <c r="I19" s="69"/>
      <c r="J19" s="55" t="s">
        <v>65</v>
      </c>
      <c r="K19" s="72" t="str">
        <f t="shared" si="5"/>
        <v/>
      </c>
      <c r="L19" s="55" t="s">
        <v>66</v>
      </c>
      <c r="M19" s="72" t="str">
        <f t="shared" si="5"/>
        <v/>
      </c>
      <c r="N19" s="55" t="s">
        <v>67</v>
      </c>
      <c r="O19" s="72" t="str">
        <f t="shared" si="5"/>
        <v/>
      </c>
      <c r="P19" s="55" t="s">
        <v>68</v>
      </c>
      <c r="Q19" s="72" t="str">
        <f t="shared" si="5"/>
        <v/>
      </c>
    </row>
    <row r="20" spans="1:17" ht="18" customHeight="1" x14ac:dyDescent="0.2">
      <c r="A20" s="66">
        <v>19</v>
      </c>
      <c r="B20" s="71"/>
      <c r="C20" s="68">
        <v>43</v>
      </c>
      <c r="D20" s="71"/>
      <c r="E20" s="68">
        <v>67</v>
      </c>
      <c r="F20" s="71"/>
      <c r="G20" s="68">
        <v>91</v>
      </c>
      <c r="H20" s="71"/>
      <c r="I20" s="69"/>
      <c r="J20" s="55" t="s">
        <v>69</v>
      </c>
      <c r="K20" s="72" t="str">
        <f t="shared" si="5"/>
        <v/>
      </c>
      <c r="L20" s="55" t="s">
        <v>70</v>
      </c>
      <c r="M20" s="72" t="str">
        <f t="shared" si="5"/>
        <v/>
      </c>
      <c r="N20" s="55" t="s">
        <v>71</v>
      </c>
      <c r="O20" s="72" t="str">
        <f t="shared" si="5"/>
        <v/>
      </c>
      <c r="P20" s="55" t="s">
        <v>72</v>
      </c>
      <c r="Q20" s="72" t="str">
        <f t="shared" si="5"/>
        <v/>
      </c>
    </row>
    <row r="21" spans="1:17" ht="18" customHeight="1" x14ac:dyDescent="0.2">
      <c r="A21" s="66">
        <v>20</v>
      </c>
      <c r="B21" s="71"/>
      <c r="C21" s="68">
        <v>44</v>
      </c>
      <c r="D21" s="71"/>
      <c r="E21" s="68">
        <v>68</v>
      </c>
      <c r="F21" s="71"/>
      <c r="G21" s="68">
        <v>92</v>
      </c>
      <c r="H21" s="71"/>
      <c r="I21" s="69"/>
      <c r="J21" s="55" t="s">
        <v>73</v>
      </c>
      <c r="K21" s="72" t="str">
        <f t="shared" si="5"/>
        <v/>
      </c>
      <c r="L21" s="55" t="s">
        <v>74</v>
      </c>
      <c r="M21" s="72" t="str">
        <f t="shared" si="5"/>
        <v/>
      </c>
      <c r="N21" s="55" t="s">
        <v>75</v>
      </c>
      <c r="O21" s="72" t="str">
        <f t="shared" si="5"/>
        <v/>
      </c>
      <c r="P21" s="55" t="s">
        <v>76</v>
      </c>
      <c r="Q21" s="72" t="str">
        <f t="shared" si="5"/>
        <v/>
      </c>
    </row>
    <row r="22" spans="1:17" ht="18" customHeight="1" x14ac:dyDescent="0.2">
      <c r="A22" s="66">
        <v>21</v>
      </c>
      <c r="B22" s="71"/>
      <c r="C22" s="68">
        <v>45</v>
      </c>
      <c r="D22" s="71"/>
      <c r="E22" s="68">
        <v>69</v>
      </c>
      <c r="F22" s="71"/>
      <c r="G22" s="68">
        <v>93</v>
      </c>
      <c r="H22" s="71"/>
      <c r="I22" s="69"/>
      <c r="J22" s="55" t="s">
        <v>91</v>
      </c>
      <c r="K22" s="72" t="str">
        <f t="shared" si="5"/>
        <v/>
      </c>
      <c r="L22" s="55" t="s">
        <v>92</v>
      </c>
      <c r="M22" s="72" t="str">
        <f t="shared" si="5"/>
        <v/>
      </c>
      <c r="N22" s="55" t="s">
        <v>93</v>
      </c>
      <c r="O22" s="72" t="str">
        <f t="shared" si="5"/>
        <v/>
      </c>
      <c r="P22" s="55" t="s">
        <v>94</v>
      </c>
      <c r="Q22" s="72" t="str">
        <f t="shared" si="5"/>
        <v/>
      </c>
    </row>
    <row r="23" spans="1:17" ht="18" customHeight="1" x14ac:dyDescent="0.2">
      <c r="A23" s="66">
        <v>22</v>
      </c>
      <c r="B23" s="71"/>
      <c r="C23" s="68">
        <v>46</v>
      </c>
      <c r="D23" s="71"/>
      <c r="E23" s="68">
        <v>70</v>
      </c>
      <c r="F23" s="71"/>
      <c r="G23" s="68">
        <v>94</v>
      </c>
      <c r="H23" s="71"/>
      <c r="I23" s="69"/>
      <c r="J23" s="55" t="s">
        <v>77</v>
      </c>
      <c r="K23" s="72" t="str">
        <f t="shared" si="5"/>
        <v/>
      </c>
      <c r="L23" s="55" t="s">
        <v>78</v>
      </c>
      <c r="M23" s="72" t="str">
        <f t="shared" si="5"/>
        <v/>
      </c>
      <c r="N23" s="55" t="s">
        <v>79</v>
      </c>
      <c r="O23" s="72" t="str">
        <f t="shared" si="5"/>
        <v/>
      </c>
      <c r="P23" s="55" t="s">
        <v>80</v>
      </c>
      <c r="Q23" s="72" t="str">
        <f t="shared" si="5"/>
        <v/>
      </c>
    </row>
    <row r="24" spans="1:17" ht="18" customHeight="1" x14ac:dyDescent="0.2">
      <c r="A24" s="66">
        <v>23</v>
      </c>
      <c r="B24" s="71"/>
      <c r="C24" s="68">
        <v>47</v>
      </c>
      <c r="D24" s="71"/>
      <c r="E24" s="68">
        <v>71</v>
      </c>
      <c r="F24" s="71"/>
      <c r="G24" s="68">
        <v>95</v>
      </c>
      <c r="H24" s="71"/>
      <c r="I24" s="69"/>
      <c r="J24" s="55" t="s">
        <v>81</v>
      </c>
      <c r="K24" s="72" t="str">
        <f t="shared" si="5"/>
        <v/>
      </c>
      <c r="L24" s="55" t="s">
        <v>82</v>
      </c>
      <c r="M24" s="72" t="str">
        <f t="shared" si="5"/>
        <v/>
      </c>
      <c r="N24" s="55" t="s">
        <v>83</v>
      </c>
      <c r="O24" s="72" t="str">
        <f t="shared" si="5"/>
        <v/>
      </c>
      <c r="P24" s="55" t="s">
        <v>84</v>
      </c>
      <c r="Q24" s="72" t="str">
        <f t="shared" si="5"/>
        <v/>
      </c>
    </row>
    <row r="25" spans="1:17" ht="18" customHeight="1" thickBot="1" x14ac:dyDescent="0.25">
      <c r="A25" s="73">
        <v>24</v>
      </c>
      <c r="B25" s="74"/>
      <c r="C25" s="75">
        <v>48</v>
      </c>
      <c r="D25" s="74"/>
      <c r="E25" s="75">
        <v>72</v>
      </c>
      <c r="F25" s="74"/>
      <c r="G25" s="75">
        <v>96</v>
      </c>
      <c r="H25" s="74"/>
      <c r="I25" s="69"/>
      <c r="J25" s="57" t="s">
        <v>85</v>
      </c>
      <c r="K25" s="76" t="str">
        <f t="shared" si="5"/>
        <v/>
      </c>
      <c r="L25" s="57" t="s">
        <v>86</v>
      </c>
      <c r="M25" s="76" t="str">
        <f t="shared" si="5"/>
        <v/>
      </c>
      <c r="N25" s="57" t="s">
        <v>87</v>
      </c>
      <c r="O25" s="76" t="str">
        <f t="shared" si="5"/>
        <v/>
      </c>
      <c r="P25" s="57" t="s">
        <v>88</v>
      </c>
      <c r="Q25" s="76" t="str">
        <f t="shared" si="5"/>
        <v/>
      </c>
    </row>
    <row r="26" spans="1:17" ht="18" customHeight="1" x14ac:dyDescent="0.2">
      <c r="A26" s="101" t="s">
        <v>113</v>
      </c>
      <c r="B26" s="101"/>
      <c r="C26" s="101"/>
      <c r="D26" s="101"/>
      <c r="E26" s="90"/>
      <c r="F26" s="92" t="s">
        <v>114</v>
      </c>
      <c r="G26" s="90"/>
      <c r="H26" s="90"/>
      <c r="I26" s="3"/>
      <c r="J26" s="103"/>
      <c r="K26" s="103"/>
      <c r="L26" s="103"/>
      <c r="M26" s="103"/>
      <c r="N26" s="103"/>
      <c r="O26" s="103"/>
      <c r="P26" s="103"/>
      <c r="Q26" s="103"/>
    </row>
    <row r="27" spans="1:17" ht="18" customHeight="1" x14ac:dyDescent="0.2">
      <c r="A27" s="102" t="s">
        <v>104</v>
      </c>
      <c r="B27" s="102"/>
      <c r="C27" s="93" t="str">
        <f>LEFT(A27,1)</f>
        <v>m</v>
      </c>
      <c r="D27" s="94">
        <v>0</v>
      </c>
      <c r="E27" s="3"/>
      <c r="F27" s="3">
        <f>COUNTIF($K$2:$Q$25,D27)</f>
        <v>0</v>
      </c>
      <c r="G27" s="3"/>
      <c r="H27" s="3"/>
      <c r="I27" s="3"/>
      <c r="J27" s="23"/>
      <c r="K27" s="3"/>
      <c r="L27" s="24"/>
      <c r="M27" s="3"/>
      <c r="N27" s="24"/>
      <c r="O27" s="3"/>
      <c r="P27" s="24"/>
      <c r="Q27" s="3"/>
    </row>
    <row r="28" spans="1:17" ht="18" customHeight="1" x14ac:dyDescent="0.2">
      <c r="A28" s="102" t="s">
        <v>103</v>
      </c>
      <c r="B28" s="102"/>
      <c r="C28" s="93" t="str">
        <f t="shared" ref="C28:C36" si="6">LEFT(A28,1)</f>
        <v>h</v>
      </c>
      <c r="D28" s="94">
        <v>1</v>
      </c>
      <c r="E28" s="3"/>
      <c r="F28" s="3">
        <f>COUNTIF($K$2:$Q$25,D28)</f>
        <v>0</v>
      </c>
      <c r="G28" s="3"/>
      <c r="H28" s="3"/>
      <c r="I28" s="3"/>
      <c r="J28" s="23"/>
      <c r="K28" s="3"/>
      <c r="L28" s="24"/>
      <c r="M28" s="3"/>
      <c r="N28" s="24"/>
      <c r="O28" s="3"/>
      <c r="P28" s="24"/>
      <c r="Q28" s="3"/>
    </row>
    <row r="29" spans="1:17" ht="18" customHeight="1" x14ac:dyDescent="0.2">
      <c r="A29" s="102" t="s">
        <v>102</v>
      </c>
      <c r="B29" s="102"/>
      <c r="C29" s="93" t="str">
        <f t="shared" si="6"/>
        <v>w</v>
      </c>
      <c r="D29" s="94">
        <v>2</v>
      </c>
      <c r="E29" s="3"/>
      <c r="F29" s="3">
        <f>COUNTIF($K$2:$Q$25,D29)</f>
        <v>0</v>
      </c>
      <c r="G29" s="3"/>
      <c r="H29" s="3"/>
      <c r="I29" s="3"/>
      <c r="J29" s="23"/>
      <c r="K29" s="3"/>
      <c r="L29" s="24"/>
      <c r="M29" s="3"/>
      <c r="N29" s="24"/>
      <c r="O29" s="3"/>
      <c r="P29" s="24"/>
      <c r="Q29" s="3"/>
    </row>
    <row r="30" spans="1:17" ht="18" customHeight="1" x14ac:dyDescent="0.2">
      <c r="A30" s="102"/>
      <c r="B30" s="102"/>
      <c r="C30" s="93" t="str">
        <f t="shared" si="6"/>
        <v/>
      </c>
      <c r="D30" s="94">
        <v>3</v>
      </c>
      <c r="F30" s="3">
        <f t="shared" ref="F30:F35" si="7">COUNTIF($K$2:$Q$25,D30)</f>
        <v>0</v>
      </c>
      <c r="I30" s="3"/>
      <c r="J30" s="23"/>
      <c r="K30" s="3"/>
      <c r="L30" s="24"/>
      <c r="M30" s="3"/>
      <c r="N30" s="24"/>
      <c r="O30" s="3"/>
      <c r="P30" s="24"/>
      <c r="Q30" s="3"/>
    </row>
    <row r="31" spans="1:17" ht="18" customHeight="1" x14ac:dyDescent="0.2">
      <c r="A31" s="102"/>
      <c r="B31" s="102"/>
      <c r="C31" s="93" t="str">
        <f t="shared" si="6"/>
        <v/>
      </c>
      <c r="D31" s="94">
        <v>4</v>
      </c>
      <c r="F31" s="3">
        <f t="shared" si="7"/>
        <v>0</v>
      </c>
      <c r="I31" s="3"/>
      <c r="J31" s="23"/>
      <c r="K31" s="3"/>
      <c r="L31" s="24"/>
      <c r="M31" s="3"/>
      <c r="N31" s="24"/>
      <c r="O31" s="3"/>
      <c r="P31" s="24"/>
      <c r="Q31" s="3"/>
    </row>
    <row r="32" spans="1:17" ht="18" customHeight="1" x14ac:dyDescent="0.2">
      <c r="A32" s="102"/>
      <c r="B32" s="102"/>
      <c r="C32" s="93" t="str">
        <f t="shared" si="6"/>
        <v/>
      </c>
      <c r="D32" s="94">
        <v>5</v>
      </c>
      <c r="F32" s="3">
        <f t="shared" si="7"/>
        <v>0</v>
      </c>
      <c r="I32" s="3"/>
      <c r="J32" s="23"/>
      <c r="K32" s="3"/>
      <c r="L32" s="24"/>
      <c r="M32" s="3"/>
      <c r="N32" s="24"/>
      <c r="O32" s="3"/>
      <c r="P32" s="24"/>
      <c r="Q32" s="3"/>
    </row>
    <row r="33" spans="1:17" ht="18" customHeight="1" x14ac:dyDescent="0.2">
      <c r="A33" s="102"/>
      <c r="B33" s="102"/>
      <c r="C33" s="93" t="str">
        <f t="shared" si="6"/>
        <v/>
      </c>
      <c r="D33" s="94">
        <v>6</v>
      </c>
      <c r="F33" s="3">
        <f t="shared" si="7"/>
        <v>0</v>
      </c>
      <c r="I33" s="3"/>
      <c r="J33" s="23"/>
      <c r="K33" s="3"/>
      <c r="L33" s="24"/>
      <c r="M33" s="3"/>
      <c r="N33" s="24"/>
      <c r="O33" s="3"/>
      <c r="P33" s="24"/>
      <c r="Q33" s="3"/>
    </row>
    <row r="34" spans="1:17" ht="18" customHeight="1" x14ac:dyDescent="0.2">
      <c r="A34" s="102"/>
      <c r="B34" s="102"/>
      <c r="C34" s="93" t="str">
        <f t="shared" si="6"/>
        <v/>
      </c>
      <c r="D34" s="94">
        <v>7</v>
      </c>
      <c r="F34" s="3">
        <f t="shared" si="7"/>
        <v>0</v>
      </c>
      <c r="I34" s="3"/>
      <c r="J34" s="23"/>
      <c r="K34" s="3"/>
      <c r="L34" s="24"/>
      <c r="M34" s="3"/>
      <c r="N34" s="24"/>
      <c r="O34" s="3"/>
      <c r="P34" s="24"/>
      <c r="Q34" s="3"/>
    </row>
    <row r="35" spans="1:17" ht="18" customHeight="1" x14ac:dyDescent="0.2">
      <c r="A35" s="102"/>
      <c r="B35" s="102"/>
      <c r="C35" s="93" t="str">
        <f t="shared" si="6"/>
        <v/>
      </c>
      <c r="D35" s="94">
        <v>8</v>
      </c>
      <c r="F35" s="3">
        <f t="shared" si="7"/>
        <v>0</v>
      </c>
      <c r="I35" s="3"/>
      <c r="J35" s="23"/>
      <c r="K35" s="3"/>
      <c r="L35" s="24"/>
      <c r="M35" s="3"/>
      <c r="N35" s="24"/>
      <c r="O35" s="3"/>
      <c r="P35" s="24"/>
      <c r="Q35" s="3"/>
    </row>
    <row r="36" spans="1:17" ht="18" customHeight="1" x14ac:dyDescent="0.2">
      <c r="A36" s="102"/>
      <c r="B36" s="102"/>
      <c r="C36" s="93" t="str">
        <f t="shared" si="6"/>
        <v/>
      </c>
      <c r="D36" s="94">
        <v>9</v>
      </c>
      <c r="F36" s="3">
        <f>COUNTIF($K$2:$Q$25,D36)</f>
        <v>0</v>
      </c>
      <c r="I36" s="3"/>
      <c r="J36" s="23"/>
      <c r="K36" s="3"/>
      <c r="L36" s="24"/>
      <c r="M36" s="3"/>
      <c r="N36" s="24"/>
      <c r="O36" s="3"/>
      <c r="P36" s="24"/>
      <c r="Q36" s="3"/>
    </row>
  </sheetData>
  <sheetProtection sheet="1" objects="1" scenarios="1" formatCells="0" formatColumns="0" formatRows="0"/>
  <mergeCells count="12">
    <mergeCell ref="A35:B35"/>
    <mergeCell ref="A36:B36"/>
    <mergeCell ref="A30:B30"/>
    <mergeCell ref="A31:B31"/>
    <mergeCell ref="A32:B32"/>
    <mergeCell ref="A33:B33"/>
    <mergeCell ref="A34:B34"/>
    <mergeCell ref="J26:Q26"/>
    <mergeCell ref="A27:B27"/>
    <mergeCell ref="A28:B28"/>
    <mergeCell ref="A29:B29"/>
    <mergeCell ref="A26:D26"/>
  </mergeCells>
  <phoneticPr fontId="10" type="noConversion"/>
  <conditionalFormatting sqref="N2:N25 P2:P25">
    <cfRule type="expression" dxfId="222" priority="62">
      <formula>AND(N2=$D$27,NOT(ISBLANK($D$27)))</formula>
    </cfRule>
    <cfRule type="expression" dxfId="221" priority="63">
      <formula>AND(N2=$D$28,NOT(ISBLANK($D$28)))</formula>
    </cfRule>
    <cfRule type="expression" dxfId="220" priority="64">
      <formula>AND(N2=$D$29,NOT(ISBLANK($D$29)))</formula>
    </cfRule>
    <cfRule type="expression" dxfId="219" priority="65">
      <formula>AND(N2=$D$30,NOT(ISBLANK($D$30)))</formula>
    </cfRule>
    <cfRule type="expression" dxfId="218" priority="66">
      <formula>AND(N2=$D$31,NOT(ISBLANK($D$31)))</formula>
    </cfRule>
    <cfRule type="expression" dxfId="217" priority="67">
      <formula>AND(N2=$D$32,NOT(ISBLANK($D$32)))</formula>
    </cfRule>
    <cfRule type="expression" dxfId="216" priority="68">
      <formula>AND(N2=$D$33,NOT(ISBLANK($D$33)))</formula>
    </cfRule>
    <cfRule type="expression" dxfId="215" priority="69">
      <formula>AND(N2=$D$34,NOT(ISBLANK($D$34)))</formula>
    </cfRule>
    <cfRule type="expression" dxfId="214" priority="70">
      <formula>AND(N2=$D$35,NOT(ISBLANK($D$35)))</formula>
    </cfRule>
    <cfRule type="expression" dxfId="213" priority="71">
      <formula>AND(N2=$D$36,NOT(ISBLANK($D$36)))</formula>
    </cfRule>
  </conditionalFormatting>
  <conditionalFormatting sqref="M2:M25">
    <cfRule type="expression" dxfId="212" priority="32">
      <formula>AND(M2=$D$27,NOT(ISBLANK($D$27)))</formula>
    </cfRule>
    <cfRule type="expression" dxfId="211" priority="33">
      <formula>AND(M2=$D$28,NOT(ISBLANK($D$28)))</formula>
    </cfRule>
    <cfRule type="expression" dxfId="210" priority="34">
      <formula>AND(M2=$D$29,NOT(ISBLANK($D$29)))</formula>
    </cfRule>
    <cfRule type="expression" dxfId="209" priority="35">
      <formula>AND(M2=$D$30,NOT(ISBLANK($D$30)))</formula>
    </cfRule>
    <cfRule type="expression" dxfId="208" priority="36">
      <formula>AND(M2=$D$31,NOT(ISBLANK($D$31)))</formula>
    </cfRule>
    <cfRule type="expression" dxfId="207" priority="37">
      <formula>AND(M2=$D$32,NOT(ISBLANK($D$32)))</formula>
    </cfRule>
    <cfRule type="expression" dxfId="206" priority="38">
      <formula>AND(M2=$D$33,NOT(ISBLANK($D$33)))</formula>
    </cfRule>
    <cfRule type="expression" dxfId="205" priority="39">
      <formula>AND(M2=$D$34,NOT(ISBLANK($D$34)))</formula>
    </cfRule>
    <cfRule type="expression" dxfId="204" priority="40">
      <formula>AND(M2=$D$35,NOT(ISBLANK($D$35)))</formula>
    </cfRule>
    <cfRule type="expression" dxfId="203" priority="41">
      <formula>AND(M2=$D$36,NOT(ISBLANK($D$36)))</formula>
    </cfRule>
  </conditionalFormatting>
  <conditionalFormatting sqref="O2:O25">
    <cfRule type="expression" dxfId="202" priority="22">
      <formula>AND(O2=$D$27,NOT(ISBLANK($D$27)))</formula>
    </cfRule>
    <cfRule type="expression" dxfId="201" priority="23">
      <formula>AND(O2=$D$28,NOT(ISBLANK($D$28)))</formula>
    </cfRule>
    <cfRule type="expression" dxfId="200" priority="24">
      <formula>AND(O2=$D$29,NOT(ISBLANK($D$29)))</formula>
    </cfRule>
    <cfRule type="expression" dxfId="199" priority="25">
      <formula>AND(O2=$D$30,NOT(ISBLANK($D$30)))</formula>
    </cfRule>
    <cfRule type="expression" dxfId="198" priority="26">
      <formula>AND(O2=$D$31,NOT(ISBLANK($D$31)))</formula>
    </cfRule>
    <cfRule type="expression" dxfId="197" priority="27">
      <formula>AND(O2=$D$32,NOT(ISBLANK($D$32)))</formula>
    </cfRule>
    <cfRule type="expression" dxfId="196" priority="28">
      <formula>AND(O2=$D$33,NOT(ISBLANK($D$33)))</formula>
    </cfRule>
    <cfRule type="expression" dxfId="195" priority="29">
      <formula>AND(O2=$D$34,NOT(ISBLANK($D$34)))</formula>
    </cfRule>
    <cfRule type="expression" dxfId="194" priority="30">
      <formula>AND(O2=$D$35,NOT(ISBLANK($D$35)))</formula>
    </cfRule>
    <cfRule type="expression" dxfId="193" priority="31">
      <formula>AND(O2=$D$36,NOT(ISBLANK($D$36)))</formula>
    </cfRule>
  </conditionalFormatting>
  <conditionalFormatting sqref="Q2:Q25">
    <cfRule type="expression" dxfId="192" priority="12">
      <formula>AND(Q2=$D$27,NOT(ISBLANK($D$27)))</formula>
    </cfRule>
    <cfRule type="expression" dxfId="191" priority="13">
      <formula>AND(Q2=$D$28,NOT(ISBLANK($D$28)))</formula>
    </cfRule>
    <cfRule type="expression" dxfId="190" priority="14">
      <formula>AND(Q2=$D$29,NOT(ISBLANK($D$29)))</formula>
    </cfRule>
    <cfRule type="expression" dxfId="189" priority="15">
      <formula>AND(Q2=$D$30,NOT(ISBLANK($D$30)))</formula>
    </cfRule>
    <cfRule type="expression" dxfId="188" priority="16">
      <formula>AND(Q2=$D$31,NOT(ISBLANK($D$31)))</formula>
    </cfRule>
    <cfRule type="expression" dxfId="187" priority="17">
      <formula>AND(Q2=$D$32,NOT(ISBLANK($D$32)))</formula>
    </cfRule>
    <cfRule type="expression" dxfId="186" priority="18">
      <formula>AND(Q2=$D$33,NOT(ISBLANK($D$33)))</formula>
    </cfRule>
    <cfRule type="expression" dxfId="185" priority="19">
      <formula>AND(Q2=$D$34,NOT(ISBLANK($D$34)))</formula>
    </cfRule>
    <cfRule type="expression" dxfId="184" priority="20">
      <formula>AND(Q2=$D$35,NOT(ISBLANK($D$35)))</formula>
    </cfRule>
    <cfRule type="expression" dxfId="183" priority="21">
      <formula>AND(Q2=$D$36,NOT(ISBLANK($D$36)))</formula>
    </cfRule>
  </conditionalFormatting>
  <conditionalFormatting sqref="L2:L25">
    <cfRule type="expression" dxfId="182" priority="52">
      <formula>AND(L2=$D$27,NOT(ISBLANK($D$27)))</formula>
    </cfRule>
    <cfRule type="expression" dxfId="181" priority="53">
      <formula>AND(L2=$D$28,NOT(ISBLANK($D$28)))</formula>
    </cfRule>
    <cfRule type="expression" dxfId="180" priority="54">
      <formula>AND(L2=$D$29,NOT(ISBLANK($D$29)))</formula>
    </cfRule>
    <cfRule type="expression" dxfId="179" priority="55">
      <formula>AND(L2=$D$30,NOT(ISBLANK($D$30)))</formula>
    </cfRule>
    <cfRule type="expression" dxfId="178" priority="56">
      <formula>AND(L2=$D$31,NOT(ISBLANK($D$31)))</formula>
    </cfRule>
    <cfRule type="expression" dxfId="177" priority="57">
      <formula>AND(L2=$D$32,NOT(ISBLANK($D$32)))</formula>
    </cfRule>
    <cfRule type="expression" dxfId="176" priority="58">
      <formula>AND(L2=$D$33,NOT(ISBLANK($D$33)))</formula>
    </cfRule>
    <cfRule type="expression" dxfId="175" priority="59">
      <formula>AND(L2=$D$34,NOT(ISBLANK($D$34)))</formula>
    </cfRule>
    <cfRule type="expression" dxfId="174" priority="60">
      <formula>AND(L2=$D$35,NOT(ISBLANK($D$35)))</formula>
    </cfRule>
    <cfRule type="expression" dxfId="173" priority="61">
      <formula>AND(L2=$D$36,NOT(ISBLANK($D$36)))</formula>
    </cfRule>
  </conditionalFormatting>
  <conditionalFormatting sqref="K2:K25">
    <cfRule type="expression" dxfId="172" priority="42">
      <formula>AND(K2=$D$27,NOT(ISBLANK($D$27)))</formula>
    </cfRule>
    <cfRule type="expression" dxfId="171" priority="43">
      <formula>AND(K2=$D$28,NOT(ISBLANK($D$28)))</formula>
    </cfRule>
    <cfRule type="expression" dxfId="170" priority="44">
      <formula>AND(K2=$D$29,NOT(ISBLANK($D$29)))</formula>
    </cfRule>
    <cfRule type="expression" dxfId="169" priority="45">
      <formula>AND(K2=$D$30,NOT(ISBLANK($D$30)))</formula>
    </cfRule>
    <cfRule type="expression" dxfId="168" priority="46">
      <formula>AND(K2=$D$31,NOT(ISBLANK($D$31)))</formula>
    </cfRule>
    <cfRule type="expression" dxfId="167" priority="47">
      <formula>AND(K2=$D$32,NOT(ISBLANK($D$32)))</formula>
    </cfRule>
    <cfRule type="expression" dxfId="166" priority="48">
      <formula>AND(K2=$D$33,NOT(ISBLANK($D$33)))</formula>
    </cfRule>
    <cfRule type="expression" dxfId="165" priority="49">
      <formula>AND(K2=$D$34,NOT(ISBLANK($D$34)))</formula>
    </cfRule>
    <cfRule type="expression" dxfId="164" priority="50">
      <formula>AND(K2=$D$35,NOT(ISBLANK($D$35)))</formula>
    </cfRule>
    <cfRule type="expression" dxfId="163" priority="51">
      <formula>AND(K2=$D$36,NOT(ISBLANK($D$36)))</formula>
    </cfRule>
  </conditionalFormatting>
  <conditionalFormatting sqref="D27:D36">
    <cfRule type="expression" dxfId="162" priority="2">
      <formula>AND(D27=$D$27,NOT(ISBLANK($D$27)))</formula>
    </cfRule>
    <cfRule type="expression" dxfId="161" priority="3">
      <formula>AND(D27=$D$28,NOT(ISBLANK($D$28)))</formula>
    </cfRule>
    <cfRule type="expression" dxfId="160" priority="4">
      <formula>AND(D27=$D$29,NOT(ISBLANK($D$29)))</formula>
    </cfRule>
    <cfRule type="expression" dxfId="159" priority="5">
      <formula>AND(D27=$D$30,NOT(ISBLANK($D$30)))</formula>
    </cfRule>
    <cfRule type="expression" dxfId="158" priority="6">
      <formula>AND(D27=$D$31,NOT(ISBLANK($D$31)))</formula>
    </cfRule>
    <cfRule type="expression" dxfId="157" priority="7">
      <formula>AND(D27=$D$32,NOT(ISBLANK($D$32)))</formula>
    </cfRule>
    <cfRule type="expression" dxfId="156" priority="8">
      <formula>AND(D27=$D$33,NOT(ISBLANK($D$33)))</formula>
    </cfRule>
    <cfRule type="expression" dxfId="155" priority="9">
      <formula>AND(D27=$D$34,NOT(ISBLANK($D$34)))</formula>
    </cfRule>
    <cfRule type="expression" dxfId="154" priority="10">
      <formula>AND(D27=$D$35,NOT(ISBLANK($D$35)))</formula>
    </cfRule>
    <cfRule type="expression" dxfId="153" priority="11">
      <formula>AND(D27=$D$36,NOT(ISBLANK($D$36)))</formula>
    </cfRule>
  </conditionalFormatting>
  <conditionalFormatting sqref="D27:D36">
    <cfRule type="expression" dxfId="152" priority="1">
      <formula>ISBLANK(D27)</formula>
    </cfRule>
  </conditionalFormatting>
  <pageMargins left="0.7" right="0.7" top="0.75" bottom="0.75" header="0.3" footer="0.3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Q36"/>
  <sheetViews>
    <sheetView workbookViewId="0">
      <selection activeCell="B2" sqref="B2"/>
    </sheetView>
  </sheetViews>
  <sheetFormatPr baseColWidth="10" defaultRowHeight="18" customHeight="1" x14ac:dyDescent="0.2"/>
  <cols>
    <col min="1" max="1" width="3.1640625" bestFit="1" customWidth="1"/>
    <col min="2" max="2" width="9.5" customWidth="1"/>
    <col min="3" max="3" width="3.1640625" bestFit="1" customWidth="1"/>
    <col min="4" max="4" width="9.5" customWidth="1"/>
    <col min="5" max="5" width="3.1640625" bestFit="1" customWidth="1"/>
    <col min="6" max="6" width="9.5" customWidth="1"/>
    <col min="7" max="7" width="4.1640625" bestFit="1" customWidth="1"/>
    <col min="8" max="8" width="9.5" customWidth="1"/>
    <col min="10" max="10" width="7.1640625" style="25" bestFit="1" customWidth="1"/>
    <col min="11" max="11" width="9.33203125" style="12" customWidth="1"/>
    <col min="12" max="12" width="7.1640625" style="26" bestFit="1" customWidth="1"/>
    <col min="13" max="13" width="9.33203125" style="12" customWidth="1"/>
    <col min="14" max="14" width="7.1640625" style="26" bestFit="1" customWidth="1"/>
    <col min="15" max="15" width="9.33203125" style="12" customWidth="1"/>
    <col min="16" max="16" width="8.5" style="26" bestFit="1" customWidth="1"/>
    <col min="17" max="17" width="9.33203125" style="12" customWidth="1"/>
  </cols>
  <sheetData>
    <row r="1" spans="1:17" s="22" customFormat="1" ht="18" customHeight="1" thickBot="1" x14ac:dyDescent="0.25">
      <c r="A1" s="89" t="s">
        <v>0</v>
      </c>
      <c r="B1" s="65" t="s">
        <v>4</v>
      </c>
      <c r="C1" s="64" t="s">
        <v>0</v>
      </c>
      <c r="D1" s="63" t="str">
        <f>$B$1</f>
        <v>gene3</v>
      </c>
      <c r="E1" s="62" t="s">
        <v>0</v>
      </c>
      <c r="F1" s="63" t="str">
        <f t="shared" ref="F1" si="0">$B$1</f>
        <v>gene3</v>
      </c>
      <c r="G1" s="62" t="s">
        <v>0</v>
      </c>
      <c r="H1" s="63" t="str">
        <f t="shared" ref="H1" si="1">$B$1</f>
        <v>gene3</v>
      </c>
      <c r="I1" s="21"/>
      <c r="J1" s="20" t="s">
        <v>0</v>
      </c>
      <c r="K1" s="97" t="str">
        <f>$B$1</f>
        <v>gene3</v>
      </c>
      <c r="L1" s="95" t="s">
        <v>0</v>
      </c>
      <c r="M1" s="97" t="str">
        <f t="shared" ref="M1" si="2">$B$1</f>
        <v>gene3</v>
      </c>
      <c r="N1" s="95" t="s">
        <v>0</v>
      </c>
      <c r="O1" s="97" t="str">
        <f t="shared" ref="O1" si="3">$B$1</f>
        <v>gene3</v>
      </c>
      <c r="P1" s="96" t="s">
        <v>0</v>
      </c>
      <c r="Q1" s="98" t="str">
        <f t="shared" ref="Q1" si="4">$B$1</f>
        <v>gene3</v>
      </c>
    </row>
    <row r="2" spans="1:17" ht="18" customHeight="1" x14ac:dyDescent="0.2">
      <c r="A2" s="66">
        <v>1</v>
      </c>
      <c r="B2" s="67"/>
      <c r="C2" s="68">
        <v>25</v>
      </c>
      <c r="D2" s="67"/>
      <c r="E2" s="68">
        <v>49</v>
      </c>
      <c r="F2" s="67"/>
      <c r="G2" s="68">
        <v>73</v>
      </c>
      <c r="H2" s="67"/>
      <c r="I2" s="69"/>
      <c r="J2" s="53" t="s">
        <v>5</v>
      </c>
      <c r="K2" s="70" t="str">
        <f>IF(B2="","",IFERROR(INDEX($D$27:$D$36,MAX(_xlfn.IFNA(MATCH(B2,$D$27:$D$36,0),-1),_xlfn.IFNA(MATCH(B2,$C$27:$C$36,0),-1),_xlfn.IFNA(MATCH(B2,$B$27:$B$36,0),-1)),1),B2))</f>
        <v/>
      </c>
      <c r="L2" s="53" t="s">
        <v>6</v>
      </c>
      <c r="M2" s="70" t="str">
        <f>IF(D2="","",IFERROR(INDEX($D$27:$D$36,MAX(_xlfn.IFNA(MATCH(D2,$D$27:$D$36,0),-1),_xlfn.IFNA(MATCH(D2,$C$27:$C$36,0),-1),_xlfn.IFNA(MATCH(D2,$B$27:$B$36,0),-1)),1),D2))</f>
        <v/>
      </c>
      <c r="N2" s="53" t="s">
        <v>7</v>
      </c>
      <c r="O2" s="70" t="str">
        <f>IF(F2="","",IFERROR(INDEX($D$27:$D$36,MAX(_xlfn.IFNA(MATCH(F2,$D$27:$D$36,0),-1),_xlfn.IFNA(MATCH(F2,$C$27:$C$36,0),-1),_xlfn.IFNA(MATCH(F2,$B$27:$B$36,0),-1)),1),F2))</f>
        <v/>
      </c>
      <c r="P2" s="53" t="s">
        <v>8</v>
      </c>
      <c r="Q2" s="70" t="str">
        <f>IF(H2="","",IFERROR(INDEX($D$27:$D$36,MAX(_xlfn.IFNA(MATCH(H2,$D$27:$D$36,0),-1),_xlfn.IFNA(MATCH(H2,$C$27:$C$36,0),-1),_xlfn.IFNA(MATCH(H2,$B$27:$B$36,0),-1)),1),H2))</f>
        <v/>
      </c>
    </row>
    <row r="3" spans="1:17" ht="18" customHeight="1" x14ac:dyDescent="0.2">
      <c r="A3" s="66">
        <v>2</v>
      </c>
      <c r="B3" s="71"/>
      <c r="C3" s="68">
        <v>26</v>
      </c>
      <c r="D3" s="71"/>
      <c r="E3" s="68">
        <v>50</v>
      </c>
      <c r="F3" s="71"/>
      <c r="G3" s="68">
        <v>74</v>
      </c>
      <c r="H3" s="71"/>
      <c r="I3" s="69"/>
      <c r="J3" s="55" t="s">
        <v>9</v>
      </c>
      <c r="K3" s="72" t="str">
        <f t="shared" ref="K3:Q25" si="5">IF(B3="","",IFERROR(INDEX($D$27:$D$36,MAX(_xlfn.IFNA(MATCH(B3,$D$27:$D$36,0),-1),_xlfn.IFNA(MATCH(B3,$C$27:$C$36,0),-1),_xlfn.IFNA(MATCH(B3,$B$27:$B$36,0),-1)),1),B3))</f>
        <v/>
      </c>
      <c r="L3" s="55" t="s">
        <v>10</v>
      </c>
      <c r="M3" s="72" t="str">
        <f t="shared" si="5"/>
        <v/>
      </c>
      <c r="N3" s="55" t="s">
        <v>11</v>
      </c>
      <c r="O3" s="72" t="str">
        <f t="shared" si="5"/>
        <v/>
      </c>
      <c r="P3" s="55" t="s">
        <v>12</v>
      </c>
      <c r="Q3" s="72" t="str">
        <f t="shared" si="5"/>
        <v/>
      </c>
    </row>
    <row r="4" spans="1:17" ht="18" customHeight="1" x14ac:dyDescent="0.2">
      <c r="A4" s="66">
        <v>3</v>
      </c>
      <c r="B4" s="71"/>
      <c r="C4" s="68">
        <v>27</v>
      </c>
      <c r="D4" s="71"/>
      <c r="E4" s="68">
        <v>51</v>
      </c>
      <c r="F4" s="71"/>
      <c r="G4" s="68">
        <v>75</v>
      </c>
      <c r="H4" s="71"/>
      <c r="I4" s="69"/>
      <c r="J4" s="55" t="s">
        <v>13</v>
      </c>
      <c r="K4" s="72" t="str">
        <f t="shared" si="5"/>
        <v/>
      </c>
      <c r="L4" s="55" t="s">
        <v>14</v>
      </c>
      <c r="M4" s="72" t="str">
        <f t="shared" si="5"/>
        <v/>
      </c>
      <c r="N4" s="55" t="s">
        <v>15</v>
      </c>
      <c r="O4" s="72" t="str">
        <f t="shared" si="5"/>
        <v/>
      </c>
      <c r="P4" s="55" t="s">
        <v>16</v>
      </c>
      <c r="Q4" s="72" t="str">
        <f t="shared" si="5"/>
        <v/>
      </c>
    </row>
    <row r="5" spans="1:17" ht="18" customHeight="1" x14ac:dyDescent="0.2">
      <c r="A5" s="66">
        <v>4</v>
      </c>
      <c r="B5" s="71"/>
      <c r="C5" s="68">
        <v>28</v>
      </c>
      <c r="D5" s="71"/>
      <c r="E5" s="68">
        <v>52</v>
      </c>
      <c r="F5" s="71"/>
      <c r="G5" s="68">
        <v>76</v>
      </c>
      <c r="H5" s="71"/>
      <c r="I5" s="69"/>
      <c r="J5" s="55" t="s">
        <v>17</v>
      </c>
      <c r="K5" s="72" t="str">
        <f t="shared" si="5"/>
        <v/>
      </c>
      <c r="L5" s="55" t="s">
        <v>18</v>
      </c>
      <c r="M5" s="72" t="str">
        <f t="shared" si="5"/>
        <v/>
      </c>
      <c r="N5" s="55" t="s">
        <v>19</v>
      </c>
      <c r="O5" s="72" t="str">
        <f t="shared" si="5"/>
        <v/>
      </c>
      <c r="P5" s="55" t="s">
        <v>20</v>
      </c>
      <c r="Q5" s="72" t="str">
        <f t="shared" si="5"/>
        <v/>
      </c>
    </row>
    <row r="6" spans="1:17" ht="18" customHeight="1" x14ac:dyDescent="0.2">
      <c r="A6" s="66">
        <v>5</v>
      </c>
      <c r="B6" s="71"/>
      <c r="C6" s="68">
        <v>29</v>
      </c>
      <c r="D6" s="71"/>
      <c r="E6" s="68">
        <v>53</v>
      </c>
      <c r="F6" s="71"/>
      <c r="G6" s="68">
        <v>77</v>
      </c>
      <c r="H6" s="71"/>
      <c r="I6" s="69"/>
      <c r="J6" s="55" t="s">
        <v>89</v>
      </c>
      <c r="K6" s="72" t="str">
        <f t="shared" si="5"/>
        <v/>
      </c>
      <c r="L6" s="55" t="s">
        <v>95</v>
      </c>
      <c r="M6" s="72" t="str">
        <f t="shared" si="5"/>
        <v/>
      </c>
      <c r="N6" s="55" t="s">
        <v>96</v>
      </c>
      <c r="O6" s="72" t="str">
        <f t="shared" si="5"/>
        <v/>
      </c>
      <c r="P6" s="55" t="s">
        <v>97</v>
      </c>
      <c r="Q6" s="72" t="str">
        <f t="shared" si="5"/>
        <v/>
      </c>
    </row>
    <row r="7" spans="1:17" ht="18" customHeight="1" x14ac:dyDescent="0.2">
      <c r="A7" s="66">
        <v>6</v>
      </c>
      <c r="B7" s="71"/>
      <c r="C7" s="68">
        <v>30</v>
      </c>
      <c r="D7" s="71"/>
      <c r="E7" s="68">
        <v>54</v>
      </c>
      <c r="F7" s="71"/>
      <c r="G7" s="68">
        <v>78</v>
      </c>
      <c r="H7" s="71"/>
      <c r="I7" s="69"/>
      <c r="J7" s="55" t="s">
        <v>21</v>
      </c>
      <c r="K7" s="72" t="str">
        <f t="shared" si="5"/>
        <v/>
      </c>
      <c r="L7" s="55" t="s">
        <v>22</v>
      </c>
      <c r="M7" s="72" t="str">
        <f t="shared" si="5"/>
        <v/>
      </c>
      <c r="N7" s="55" t="s">
        <v>23</v>
      </c>
      <c r="O7" s="72" t="str">
        <f t="shared" si="5"/>
        <v/>
      </c>
      <c r="P7" s="55" t="s">
        <v>24</v>
      </c>
      <c r="Q7" s="72" t="str">
        <f t="shared" si="5"/>
        <v/>
      </c>
    </row>
    <row r="8" spans="1:17" ht="18" customHeight="1" x14ac:dyDescent="0.2">
      <c r="A8" s="66">
        <v>7</v>
      </c>
      <c r="B8" s="71"/>
      <c r="C8" s="68">
        <v>31</v>
      </c>
      <c r="D8" s="71"/>
      <c r="E8" s="68">
        <v>55</v>
      </c>
      <c r="F8" s="71"/>
      <c r="G8" s="68">
        <v>79</v>
      </c>
      <c r="H8" s="71"/>
      <c r="I8" s="69"/>
      <c r="J8" s="55" t="s">
        <v>25</v>
      </c>
      <c r="K8" s="72" t="str">
        <f t="shared" si="5"/>
        <v/>
      </c>
      <c r="L8" s="55" t="s">
        <v>26</v>
      </c>
      <c r="M8" s="72" t="str">
        <f t="shared" si="5"/>
        <v/>
      </c>
      <c r="N8" s="55" t="s">
        <v>27</v>
      </c>
      <c r="O8" s="72" t="str">
        <f t="shared" si="5"/>
        <v/>
      </c>
      <c r="P8" s="55" t="s">
        <v>28</v>
      </c>
      <c r="Q8" s="72" t="str">
        <f t="shared" si="5"/>
        <v/>
      </c>
    </row>
    <row r="9" spans="1:17" ht="18" customHeight="1" thickBot="1" x14ac:dyDescent="0.25">
      <c r="A9" s="73">
        <v>8</v>
      </c>
      <c r="B9" s="74"/>
      <c r="C9" s="75">
        <v>32</v>
      </c>
      <c r="D9" s="74"/>
      <c r="E9" s="75">
        <v>56</v>
      </c>
      <c r="F9" s="74"/>
      <c r="G9" s="75">
        <v>80</v>
      </c>
      <c r="H9" s="74"/>
      <c r="I9" s="69"/>
      <c r="J9" s="57" t="s">
        <v>29</v>
      </c>
      <c r="K9" s="76" t="str">
        <f t="shared" si="5"/>
        <v/>
      </c>
      <c r="L9" s="57" t="s">
        <v>30</v>
      </c>
      <c r="M9" s="76" t="str">
        <f t="shared" si="5"/>
        <v/>
      </c>
      <c r="N9" s="57" t="s">
        <v>31</v>
      </c>
      <c r="O9" s="76" t="str">
        <f t="shared" si="5"/>
        <v/>
      </c>
      <c r="P9" s="57" t="s">
        <v>32</v>
      </c>
      <c r="Q9" s="76" t="str">
        <f t="shared" si="5"/>
        <v/>
      </c>
    </row>
    <row r="10" spans="1:17" ht="18" customHeight="1" x14ac:dyDescent="0.2">
      <c r="A10" s="66">
        <v>9</v>
      </c>
      <c r="B10" s="77"/>
      <c r="C10" s="68">
        <v>33</v>
      </c>
      <c r="D10" s="77"/>
      <c r="E10" s="68">
        <v>57</v>
      </c>
      <c r="F10" s="77"/>
      <c r="G10" s="68">
        <v>81</v>
      </c>
      <c r="H10" s="77"/>
      <c r="I10" s="69"/>
      <c r="J10" s="53" t="s">
        <v>33</v>
      </c>
      <c r="K10" s="70" t="str">
        <f t="shared" si="5"/>
        <v/>
      </c>
      <c r="L10" s="53" t="s">
        <v>34</v>
      </c>
      <c r="M10" s="70" t="str">
        <f t="shared" si="5"/>
        <v/>
      </c>
      <c r="N10" s="53" t="s">
        <v>35</v>
      </c>
      <c r="O10" s="70" t="str">
        <f t="shared" si="5"/>
        <v/>
      </c>
      <c r="P10" s="53" t="s">
        <v>36</v>
      </c>
      <c r="Q10" s="70" t="str">
        <f t="shared" si="5"/>
        <v/>
      </c>
    </row>
    <row r="11" spans="1:17" ht="18" customHeight="1" x14ac:dyDescent="0.2">
      <c r="A11" s="66">
        <v>10</v>
      </c>
      <c r="B11" s="71"/>
      <c r="C11" s="68">
        <v>34</v>
      </c>
      <c r="D11" s="71"/>
      <c r="E11" s="68">
        <v>58</v>
      </c>
      <c r="F11" s="71"/>
      <c r="G11" s="68">
        <v>82</v>
      </c>
      <c r="H11" s="71"/>
      <c r="I11" s="69"/>
      <c r="J11" s="55" t="s">
        <v>37</v>
      </c>
      <c r="K11" s="72" t="str">
        <f t="shared" si="5"/>
        <v/>
      </c>
      <c r="L11" s="55" t="s">
        <v>38</v>
      </c>
      <c r="M11" s="72" t="str">
        <f t="shared" si="5"/>
        <v/>
      </c>
      <c r="N11" s="55" t="s">
        <v>39</v>
      </c>
      <c r="O11" s="72" t="str">
        <f t="shared" si="5"/>
        <v/>
      </c>
      <c r="P11" s="55" t="s">
        <v>40</v>
      </c>
      <c r="Q11" s="72" t="str">
        <f t="shared" si="5"/>
        <v/>
      </c>
    </row>
    <row r="12" spans="1:17" ht="18" customHeight="1" x14ac:dyDescent="0.2">
      <c r="A12" s="66">
        <v>11</v>
      </c>
      <c r="B12" s="71"/>
      <c r="C12" s="68">
        <v>35</v>
      </c>
      <c r="D12" s="71"/>
      <c r="E12" s="68">
        <v>59</v>
      </c>
      <c r="F12" s="71"/>
      <c r="G12" s="68">
        <v>83</v>
      </c>
      <c r="H12" s="71"/>
      <c r="I12" s="69"/>
      <c r="J12" s="55" t="s">
        <v>41</v>
      </c>
      <c r="K12" s="72" t="str">
        <f t="shared" si="5"/>
        <v/>
      </c>
      <c r="L12" s="55" t="s">
        <v>42</v>
      </c>
      <c r="M12" s="72" t="str">
        <f t="shared" si="5"/>
        <v/>
      </c>
      <c r="N12" s="55" t="s">
        <v>43</v>
      </c>
      <c r="O12" s="72" t="str">
        <f t="shared" si="5"/>
        <v/>
      </c>
      <c r="P12" s="55" t="s">
        <v>44</v>
      </c>
      <c r="Q12" s="72" t="str">
        <f t="shared" si="5"/>
        <v/>
      </c>
    </row>
    <row r="13" spans="1:17" ht="18" customHeight="1" x14ac:dyDescent="0.2">
      <c r="A13" s="66">
        <v>12</v>
      </c>
      <c r="B13" s="71"/>
      <c r="C13" s="68">
        <v>36</v>
      </c>
      <c r="D13" s="71"/>
      <c r="E13" s="68">
        <v>60</v>
      </c>
      <c r="F13" s="71"/>
      <c r="G13" s="68">
        <v>84</v>
      </c>
      <c r="H13" s="71"/>
      <c r="I13" s="69"/>
      <c r="J13" s="55" t="s">
        <v>45</v>
      </c>
      <c r="K13" s="72" t="str">
        <f t="shared" si="5"/>
        <v/>
      </c>
      <c r="L13" s="55" t="s">
        <v>46</v>
      </c>
      <c r="M13" s="72" t="str">
        <f t="shared" si="5"/>
        <v/>
      </c>
      <c r="N13" s="55" t="s">
        <v>47</v>
      </c>
      <c r="O13" s="72" t="str">
        <f t="shared" si="5"/>
        <v/>
      </c>
      <c r="P13" s="55" t="s">
        <v>48</v>
      </c>
      <c r="Q13" s="72" t="str">
        <f t="shared" si="5"/>
        <v/>
      </c>
    </row>
    <row r="14" spans="1:17" ht="18" customHeight="1" x14ac:dyDescent="0.2">
      <c r="A14" s="66">
        <v>13</v>
      </c>
      <c r="B14" s="71"/>
      <c r="C14" s="68">
        <v>37</v>
      </c>
      <c r="D14" s="71"/>
      <c r="E14" s="68">
        <v>61</v>
      </c>
      <c r="F14" s="71"/>
      <c r="G14" s="68">
        <v>85</v>
      </c>
      <c r="H14" s="71"/>
      <c r="I14" s="69"/>
      <c r="J14" s="55" t="s">
        <v>90</v>
      </c>
      <c r="K14" s="72" t="str">
        <f t="shared" si="5"/>
        <v/>
      </c>
      <c r="L14" s="55" t="s">
        <v>98</v>
      </c>
      <c r="M14" s="72" t="str">
        <f t="shared" si="5"/>
        <v/>
      </c>
      <c r="N14" s="55" t="s">
        <v>99</v>
      </c>
      <c r="O14" s="72" t="str">
        <f t="shared" si="5"/>
        <v/>
      </c>
      <c r="P14" s="55" t="s">
        <v>100</v>
      </c>
      <c r="Q14" s="72" t="str">
        <f t="shared" si="5"/>
        <v/>
      </c>
    </row>
    <row r="15" spans="1:17" ht="18" customHeight="1" x14ac:dyDescent="0.2">
      <c r="A15" s="66">
        <v>14</v>
      </c>
      <c r="B15" s="71"/>
      <c r="C15" s="68">
        <v>38</v>
      </c>
      <c r="D15" s="71"/>
      <c r="E15" s="68">
        <v>62</v>
      </c>
      <c r="F15" s="71"/>
      <c r="G15" s="68">
        <v>86</v>
      </c>
      <c r="H15" s="71"/>
      <c r="I15" s="69"/>
      <c r="J15" s="55" t="s">
        <v>49</v>
      </c>
      <c r="K15" s="72" t="str">
        <f t="shared" si="5"/>
        <v/>
      </c>
      <c r="L15" s="55" t="s">
        <v>50</v>
      </c>
      <c r="M15" s="72" t="str">
        <f t="shared" si="5"/>
        <v/>
      </c>
      <c r="N15" s="55" t="s">
        <v>51</v>
      </c>
      <c r="O15" s="72" t="str">
        <f t="shared" si="5"/>
        <v/>
      </c>
      <c r="P15" s="55" t="s">
        <v>52</v>
      </c>
      <c r="Q15" s="72" t="str">
        <f t="shared" si="5"/>
        <v/>
      </c>
    </row>
    <row r="16" spans="1:17" ht="18" customHeight="1" x14ac:dyDescent="0.2">
      <c r="A16" s="66">
        <v>15</v>
      </c>
      <c r="B16" s="71"/>
      <c r="C16" s="68">
        <v>39</v>
      </c>
      <c r="D16" s="71"/>
      <c r="E16" s="68">
        <v>63</v>
      </c>
      <c r="F16" s="71"/>
      <c r="G16" s="68">
        <v>87</v>
      </c>
      <c r="H16" s="71"/>
      <c r="I16" s="69"/>
      <c r="J16" s="55" t="s">
        <v>53</v>
      </c>
      <c r="K16" s="72" t="str">
        <f t="shared" si="5"/>
        <v/>
      </c>
      <c r="L16" s="55" t="s">
        <v>54</v>
      </c>
      <c r="M16" s="72" t="str">
        <f t="shared" si="5"/>
        <v/>
      </c>
      <c r="N16" s="55" t="s">
        <v>55</v>
      </c>
      <c r="O16" s="72" t="str">
        <f t="shared" si="5"/>
        <v/>
      </c>
      <c r="P16" s="55" t="s">
        <v>56</v>
      </c>
      <c r="Q16" s="72" t="str">
        <f t="shared" si="5"/>
        <v/>
      </c>
    </row>
    <row r="17" spans="1:17" ht="18" customHeight="1" thickBot="1" x14ac:dyDescent="0.25">
      <c r="A17" s="73">
        <v>16</v>
      </c>
      <c r="B17" s="74"/>
      <c r="C17" s="75">
        <v>40</v>
      </c>
      <c r="D17" s="74"/>
      <c r="E17" s="75">
        <v>64</v>
      </c>
      <c r="F17" s="74"/>
      <c r="G17" s="75">
        <v>88</v>
      </c>
      <c r="H17" s="74"/>
      <c r="I17" s="69"/>
      <c r="J17" s="57" t="s">
        <v>57</v>
      </c>
      <c r="K17" s="76" t="str">
        <f t="shared" si="5"/>
        <v/>
      </c>
      <c r="L17" s="57" t="s">
        <v>58</v>
      </c>
      <c r="M17" s="76" t="str">
        <f t="shared" si="5"/>
        <v/>
      </c>
      <c r="N17" s="57" t="s">
        <v>59</v>
      </c>
      <c r="O17" s="76" t="str">
        <f t="shared" si="5"/>
        <v/>
      </c>
      <c r="P17" s="57" t="s">
        <v>60</v>
      </c>
      <c r="Q17" s="76" t="str">
        <f t="shared" si="5"/>
        <v/>
      </c>
    </row>
    <row r="18" spans="1:17" ht="18" customHeight="1" x14ac:dyDescent="0.2">
      <c r="A18" s="66">
        <v>17</v>
      </c>
      <c r="B18" s="77"/>
      <c r="C18" s="68">
        <v>41</v>
      </c>
      <c r="D18" s="77"/>
      <c r="E18" s="68">
        <v>65</v>
      </c>
      <c r="F18" s="77"/>
      <c r="G18" s="68">
        <v>89</v>
      </c>
      <c r="H18" s="77"/>
      <c r="I18" s="69"/>
      <c r="J18" s="53" t="s">
        <v>61</v>
      </c>
      <c r="K18" s="70" t="str">
        <f t="shared" si="5"/>
        <v/>
      </c>
      <c r="L18" s="53" t="s">
        <v>62</v>
      </c>
      <c r="M18" s="70" t="str">
        <f t="shared" si="5"/>
        <v/>
      </c>
      <c r="N18" s="53" t="s">
        <v>63</v>
      </c>
      <c r="O18" s="70" t="str">
        <f t="shared" si="5"/>
        <v/>
      </c>
      <c r="P18" s="53" t="s">
        <v>64</v>
      </c>
      <c r="Q18" s="70" t="str">
        <f t="shared" si="5"/>
        <v/>
      </c>
    </row>
    <row r="19" spans="1:17" ht="18" customHeight="1" x14ac:dyDescent="0.2">
      <c r="A19" s="66">
        <v>18</v>
      </c>
      <c r="B19" s="71"/>
      <c r="C19" s="68">
        <v>42</v>
      </c>
      <c r="D19" s="71"/>
      <c r="E19" s="68">
        <v>66</v>
      </c>
      <c r="F19" s="71"/>
      <c r="G19" s="68">
        <v>90</v>
      </c>
      <c r="H19" s="71"/>
      <c r="I19" s="69"/>
      <c r="J19" s="55" t="s">
        <v>65</v>
      </c>
      <c r="K19" s="72" t="str">
        <f t="shared" si="5"/>
        <v/>
      </c>
      <c r="L19" s="55" t="s">
        <v>66</v>
      </c>
      <c r="M19" s="72" t="str">
        <f t="shared" si="5"/>
        <v/>
      </c>
      <c r="N19" s="55" t="s">
        <v>67</v>
      </c>
      <c r="O19" s="72" t="str">
        <f t="shared" si="5"/>
        <v/>
      </c>
      <c r="P19" s="55" t="s">
        <v>68</v>
      </c>
      <c r="Q19" s="72" t="str">
        <f t="shared" si="5"/>
        <v/>
      </c>
    </row>
    <row r="20" spans="1:17" ht="18" customHeight="1" x14ac:dyDescent="0.2">
      <c r="A20" s="66">
        <v>19</v>
      </c>
      <c r="B20" s="71"/>
      <c r="C20" s="68">
        <v>43</v>
      </c>
      <c r="D20" s="71"/>
      <c r="E20" s="68">
        <v>67</v>
      </c>
      <c r="F20" s="71"/>
      <c r="G20" s="68">
        <v>91</v>
      </c>
      <c r="H20" s="71"/>
      <c r="I20" s="69"/>
      <c r="J20" s="55" t="s">
        <v>69</v>
      </c>
      <c r="K20" s="72" t="str">
        <f t="shared" si="5"/>
        <v/>
      </c>
      <c r="L20" s="55" t="s">
        <v>70</v>
      </c>
      <c r="M20" s="72" t="str">
        <f t="shared" si="5"/>
        <v/>
      </c>
      <c r="N20" s="55" t="s">
        <v>71</v>
      </c>
      <c r="O20" s="72" t="str">
        <f t="shared" si="5"/>
        <v/>
      </c>
      <c r="P20" s="55" t="s">
        <v>72</v>
      </c>
      <c r="Q20" s="72" t="str">
        <f t="shared" si="5"/>
        <v/>
      </c>
    </row>
    <row r="21" spans="1:17" ht="18" customHeight="1" x14ac:dyDescent="0.2">
      <c r="A21" s="66">
        <v>20</v>
      </c>
      <c r="B21" s="71"/>
      <c r="C21" s="68">
        <v>44</v>
      </c>
      <c r="D21" s="71"/>
      <c r="E21" s="68">
        <v>68</v>
      </c>
      <c r="F21" s="71"/>
      <c r="G21" s="68">
        <v>92</v>
      </c>
      <c r="H21" s="71"/>
      <c r="I21" s="69"/>
      <c r="J21" s="55" t="s">
        <v>73</v>
      </c>
      <c r="K21" s="72" t="str">
        <f t="shared" si="5"/>
        <v/>
      </c>
      <c r="L21" s="55" t="s">
        <v>74</v>
      </c>
      <c r="M21" s="72" t="str">
        <f t="shared" si="5"/>
        <v/>
      </c>
      <c r="N21" s="55" t="s">
        <v>75</v>
      </c>
      <c r="O21" s="72" t="str">
        <f t="shared" si="5"/>
        <v/>
      </c>
      <c r="P21" s="55" t="s">
        <v>76</v>
      </c>
      <c r="Q21" s="72" t="str">
        <f t="shared" si="5"/>
        <v/>
      </c>
    </row>
    <row r="22" spans="1:17" ht="18" customHeight="1" x14ac:dyDescent="0.2">
      <c r="A22" s="66">
        <v>21</v>
      </c>
      <c r="B22" s="71"/>
      <c r="C22" s="68">
        <v>45</v>
      </c>
      <c r="D22" s="71"/>
      <c r="E22" s="68">
        <v>69</v>
      </c>
      <c r="F22" s="71"/>
      <c r="G22" s="68">
        <v>93</v>
      </c>
      <c r="H22" s="71"/>
      <c r="I22" s="69"/>
      <c r="J22" s="55" t="s">
        <v>91</v>
      </c>
      <c r="K22" s="72" t="str">
        <f t="shared" si="5"/>
        <v/>
      </c>
      <c r="L22" s="55" t="s">
        <v>92</v>
      </c>
      <c r="M22" s="72" t="str">
        <f t="shared" si="5"/>
        <v/>
      </c>
      <c r="N22" s="55" t="s">
        <v>93</v>
      </c>
      <c r="O22" s="72" t="str">
        <f t="shared" si="5"/>
        <v/>
      </c>
      <c r="P22" s="55" t="s">
        <v>94</v>
      </c>
      <c r="Q22" s="72" t="str">
        <f t="shared" si="5"/>
        <v/>
      </c>
    </row>
    <row r="23" spans="1:17" ht="18" customHeight="1" x14ac:dyDescent="0.2">
      <c r="A23" s="66">
        <v>22</v>
      </c>
      <c r="B23" s="71"/>
      <c r="C23" s="68">
        <v>46</v>
      </c>
      <c r="D23" s="71"/>
      <c r="E23" s="68">
        <v>70</v>
      </c>
      <c r="F23" s="71"/>
      <c r="G23" s="68">
        <v>94</v>
      </c>
      <c r="H23" s="71"/>
      <c r="I23" s="69"/>
      <c r="J23" s="55" t="s">
        <v>77</v>
      </c>
      <c r="K23" s="72" t="str">
        <f t="shared" si="5"/>
        <v/>
      </c>
      <c r="L23" s="55" t="s">
        <v>78</v>
      </c>
      <c r="M23" s="72" t="str">
        <f t="shared" si="5"/>
        <v/>
      </c>
      <c r="N23" s="55" t="s">
        <v>79</v>
      </c>
      <c r="O23" s="72" t="str">
        <f t="shared" si="5"/>
        <v/>
      </c>
      <c r="P23" s="55" t="s">
        <v>80</v>
      </c>
      <c r="Q23" s="72" t="str">
        <f t="shared" si="5"/>
        <v/>
      </c>
    </row>
    <row r="24" spans="1:17" ht="18" customHeight="1" x14ac:dyDescent="0.2">
      <c r="A24" s="66">
        <v>23</v>
      </c>
      <c r="B24" s="71"/>
      <c r="C24" s="68">
        <v>47</v>
      </c>
      <c r="D24" s="71"/>
      <c r="E24" s="68">
        <v>71</v>
      </c>
      <c r="F24" s="71"/>
      <c r="G24" s="68">
        <v>95</v>
      </c>
      <c r="H24" s="71"/>
      <c r="I24" s="69"/>
      <c r="J24" s="55" t="s">
        <v>81</v>
      </c>
      <c r="K24" s="72" t="str">
        <f t="shared" si="5"/>
        <v/>
      </c>
      <c r="L24" s="55" t="s">
        <v>82</v>
      </c>
      <c r="M24" s="72" t="str">
        <f t="shared" si="5"/>
        <v/>
      </c>
      <c r="N24" s="55" t="s">
        <v>83</v>
      </c>
      <c r="O24" s="72" t="str">
        <f t="shared" si="5"/>
        <v/>
      </c>
      <c r="P24" s="55" t="s">
        <v>84</v>
      </c>
      <c r="Q24" s="72" t="str">
        <f t="shared" si="5"/>
        <v/>
      </c>
    </row>
    <row r="25" spans="1:17" ht="18" customHeight="1" thickBot="1" x14ac:dyDescent="0.25">
      <c r="A25" s="73">
        <v>24</v>
      </c>
      <c r="B25" s="74"/>
      <c r="C25" s="75">
        <v>48</v>
      </c>
      <c r="D25" s="74"/>
      <c r="E25" s="75">
        <v>72</v>
      </c>
      <c r="F25" s="74"/>
      <c r="G25" s="75">
        <v>96</v>
      </c>
      <c r="H25" s="74"/>
      <c r="I25" s="69"/>
      <c r="J25" s="57" t="s">
        <v>85</v>
      </c>
      <c r="K25" s="76" t="str">
        <f t="shared" si="5"/>
        <v/>
      </c>
      <c r="L25" s="57" t="s">
        <v>86</v>
      </c>
      <c r="M25" s="76" t="str">
        <f t="shared" si="5"/>
        <v/>
      </c>
      <c r="N25" s="57" t="s">
        <v>87</v>
      </c>
      <c r="O25" s="76" t="str">
        <f t="shared" si="5"/>
        <v/>
      </c>
      <c r="P25" s="57" t="s">
        <v>88</v>
      </c>
      <c r="Q25" s="76" t="str">
        <f t="shared" si="5"/>
        <v/>
      </c>
    </row>
    <row r="26" spans="1:17" ht="18" customHeight="1" x14ac:dyDescent="0.2">
      <c r="A26" s="101" t="s">
        <v>113</v>
      </c>
      <c r="B26" s="101"/>
      <c r="C26" s="101"/>
      <c r="D26" s="101"/>
      <c r="E26" s="90"/>
      <c r="F26" s="92" t="s">
        <v>114</v>
      </c>
      <c r="G26" s="90"/>
      <c r="H26" s="90"/>
      <c r="I26" s="3"/>
      <c r="J26" s="103"/>
      <c r="K26" s="103"/>
      <c r="L26" s="103"/>
      <c r="M26" s="103"/>
      <c r="N26" s="103"/>
      <c r="O26" s="103"/>
      <c r="P26" s="103"/>
      <c r="Q26" s="103"/>
    </row>
    <row r="27" spans="1:17" ht="18" customHeight="1" x14ac:dyDescent="0.2">
      <c r="A27" s="102" t="s">
        <v>104</v>
      </c>
      <c r="B27" s="102"/>
      <c r="C27" s="93" t="str">
        <f>LEFT(A27,1)</f>
        <v>m</v>
      </c>
      <c r="D27" s="94">
        <v>0</v>
      </c>
      <c r="E27" s="3"/>
      <c r="F27" s="3">
        <f>COUNTIF($K$2:$Q$25,D27)</f>
        <v>0</v>
      </c>
      <c r="G27" s="3"/>
      <c r="H27" s="3"/>
      <c r="I27" s="3"/>
      <c r="J27" s="23"/>
      <c r="K27" s="3"/>
      <c r="L27" s="24"/>
      <c r="M27" s="3"/>
      <c r="N27" s="24"/>
      <c r="O27" s="3"/>
      <c r="P27" s="24"/>
      <c r="Q27" s="3"/>
    </row>
    <row r="28" spans="1:17" ht="18" customHeight="1" x14ac:dyDescent="0.2">
      <c r="A28" s="102" t="s">
        <v>103</v>
      </c>
      <c r="B28" s="102"/>
      <c r="C28" s="93" t="str">
        <f t="shared" ref="C28:C36" si="6">LEFT(A28,1)</f>
        <v>h</v>
      </c>
      <c r="D28" s="94">
        <v>1</v>
      </c>
      <c r="E28" s="3"/>
      <c r="F28" s="3">
        <f>COUNTIF($K$2:$Q$25,D28)</f>
        <v>0</v>
      </c>
      <c r="G28" s="3"/>
      <c r="H28" s="3"/>
      <c r="I28" s="3"/>
      <c r="J28" s="23"/>
      <c r="K28" s="3"/>
      <c r="L28" s="24"/>
      <c r="M28" s="3"/>
      <c r="N28" s="24"/>
      <c r="O28" s="3"/>
      <c r="P28" s="24"/>
      <c r="Q28" s="3"/>
    </row>
    <row r="29" spans="1:17" ht="18" customHeight="1" x14ac:dyDescent="0.2">
      <c r="A29" s="102" t="s">
        <v>102</v>
      </c>
      <c r="B29" s="102"/>
      <c r="C29" s="93" t="str">
        <f t="shared" si="6"/>
        <v>w</v>
      </c>
      <c r="D29" s="94">
        <v>2</v>
      </c>
      <c r="E29" s="3"/>
      <c r="F29" s="3">
        <f>COUNTIF($K$2:$Q$25,D29)</f>
        <v>0</v>
      </c>
      <c r="G29" s="3"/>
      <c r="H29" s="3"/>
      <c r="I29" s="3"/>
      <c r="J29" s="23"/>
      <c r="K29" s="19"/>
      <c r="L29" s="24"/>
      <c r="M29" s="3"/>
      <c r="N29" s="24"/>
      <c r="O29" s="3"/>
      <c r="P29" s="24"/>
      <c r="Q29" s="3"/>
    </row>
    <row r="30" spans="1:17" ht="18" customHeight="1" x14ac:dyDescent="0.2">
      <c r="A30" s="102"/>
      <c r="B30" s="102"/>
      <c r="C30" s="93" t="str">
        <f t="shared" si="6"/>
        <v/>
      </c>
      <c r="D30" s="94">
        <v>3</v>
      </c>
      <c r="F30" s="3">
        <f t="shared" ref="F30:F35" si="7">COUNTIF($K$2:$Q$25,D30)</f>
        <v>0</v>
      </c>
      <c r="I30" s="3"/>
      <c r="J30" s="23"/>
      <c r="K30" s="3"/>
      <c r="L30" s="24"/>
      <c r="M30" s="3"/>
      <c r="N30" s="24"/>
      <c r="O30" s="3"/>
      <c r="P30" s="24"/>
      <c r="Q30" s="3"/>
    </row>
    <row r="31" spans="1:17" ht="18" customHeight="1" x14ac:dyDescent="0.2">
      <c r="A31" s="102"/>
      <c r="B31" s="102"/>
      <c r="C31" s="93" t="str">
        <f t="shared" si="6"/>
        <v/>
      </c>
      <c r="D31" s="94">
        <v>4</v>
      </c>
      <c r="F31" s="3">
        <f t="shared" si="7"/>
        <v>0</v>
      </c>
      <c r="I31" s="3"/>
      <c r="J31" s="23"/>
      <c r="K31" s="3"/>
      <c r="L31" s="24"/>
      <c r="M31" s="3"/>
      <c r="N31" s="24"/>
      <c r="O31" s="3"/>
      <c r="P31" s="24"/>
      <c r="Q31" s="3"/>
    </row>
    <row r="32" spans="1:17" ht="18" customHeight="1" x14ac:dyDescent="0.2">
      <c r="A32" s="102"/>
      <c r="B32" s="102"/>
      <c r="C32" s="93" t="str">
        <f t="shared" si="6"/>
        <v/>
      </c>
      <c r="D32" s="94">
        <v>5</v>
      </c>
      <c r="F32" s="3">
        <f t="shared" si="7"/>
        <v>0</v>
      </c>
      <c r="I32" s="3"/>
      <c r="J32" s="23"/>
      <c r="K32" s="3"/>
      <c r="L32" s="24"/>
      <c r="M32" s="3"/>
      <c r="N32" s="24"/>
      <c r="O32" s="3"/>
      <c r="P32" s="24"/>
      <c r="Q32" s="3"/>
    </row>
    <row r="33" spans="1:17" ht="18" customHeight="1" x14ac:dyDescent="0.2">
      <c r="A33" s="102"/>
      <c r="B33" s="102"/>
      <c r="C33" s="93" t="str">
        <f t="shared" si="6"/>
        <v/>
      </c>
      <c r="D33" s="94">
        <v>6</v>
      </c>
      <c r="F33" s="3">
        <f t="shared" si="7"/>
        <v>0</v>
      </c>
      <c r="I33" s="3"/>
      <c r="J33" s="23"/>
      <c r="K33" s="3"/>
      <c r="L33" s="24"/>
      <c r="M33" s="3"/>
      <c r="N33" s="24"/>
      <c r="O33" s="3"/>
      <c r="P33" s="24"/>
      <c r="Q33" s="3"/>
    </row>
    <row r="34" spans="1:17" ht="18" customHeight="1" x14ac:dyDescent="0.2">
      <c r="A34" s="102"/>
      <c r="B34" s="102"/>
      <c r="C34" s="93" t="str">
        <f t="shared" si="6"/>
        <v/>
      </c>
      <c r="D34" s="94">
        <v>7</v>
      </c>
      <c r="F34" s="3">
        <f t="shared" si="7"/>
        <v>0</v>
      </c>
      <c r="I34" s="3"/>
      <c r="J34" s="23"/>
      <c r="K34" s="3"/>
      <c r="L34" s="24"/>
      <c r="M34" s="3"/>
      <c r="N34" s="24"/>
      <c r="O34" s="3"/>
      <c r="P34" s="24"/>
      <c r="Q34" s="3"/>
    </row>
    <row r="35" spans="1:17" ht="18" customHeight="1" x14ac:dyDescent="0.2">
      <c r="A35" s="102"/>
      <c r="B35" s="102"/>
      <c r="C35" s="93" t="str">
        <f t="shared" si="6"/>
        <v/>
      </c>
      <c r="D35" s="94">
        <v>8</v>
      </c>
      <c r="F35" s="3">
        <f t="shared" si="7"/>
        <v>0</v>
      </c>
      <c r="I35" s="3"/>
      <c r="J35" s="23"/>
      <c r="K35" s="3"/>
      <c r="L35" s="24"/>
      <c r="M35" s="3"/>
      <c r="N35" s="24"/>
      <c r="O35" s="3"/>
      <c r="P35" s="24"/>
      <c r="Q35" s="3"/>
    </row>
    <row r="36" spans="1:17" ht="18" customHeight="1" x14ac:dyDescent="0.2">
      <c r="A36" s="102"/>
      <c r="B36" s="102"/>
      <c r="C36" s="93" t="str">
        <f t="shared" si="6"/>
        <v/>
      </c>
      <c r="D36" s="94">
        <v>9</v>
      </c>
      <c r="F36" s="3">
        <f>COUNTIF($K$2:$Q$25,D36)</f>
        <v>0</v>
      </c>
      <c r="I36" s="3"/>
      <c r="J36" s="23"/>
      <c r="K36" s="3"/>
      <c r="L36" s="24"/>
      <c r="M36" s="3"/>
      <c r="N36" s="24"/>
      <c r="O36" s="3"/>
      <c r="P36" s="24"/>
      <c r="Q36" s="3"/>
    </row>
  </sheetData>
  <sheetProtection sheet="1" objects="1" scenarios="1" formatCells="0" formatColumns="0" formatRows="0"/>
  <mergeCells count="12">
    <mergeCell ref="A35:B35"/>
    <mergeCell ref="A36:B36"/>
    <mergeCell ref="A30:B30"/>
    <mergeCell ref="A31:B31"/>
    <mergeCell ref="A32:B32"/>
    <mergeCell ref="A33:B33"/>
    <mergeCell ref="A34:B34"/>
    <mergeCell ref="J26:Q26"/>
    <mergeCell ref="A27:B27"/>
    <mergeCell ref="A28:B28"/>
    <mergeCell ref="A29:B29"/>
    <mergeCell ref="A26:D26"/>
  </mergeCells>
  <phoneticPr fontId="10" type="noConversion"/>
  <conditionalFormatting sqref="N2:N25 P2:P25">
    <cfRule type="expression" dxfId="151" priority="62">
      <formula>AND(N2=$D$27,NOT(ISBLANK($D$27)))</formula>
    </cfRule>
    <cfRule type="expression" dxfId="150" priority="63">
      <formula>AND(N2=$D$28,NOT(ISBLANK($D$28)))</formula>
    </cfRule>
    <cfRule type="expression" dxfId="149" priority="64">
      <formula>AND(N2=$D$29,NOT(ISBLANK($D$29)))</formula>
    </cfRule>
    <cfRule type="expression" dxfId="148" priority="65">
      <formula>AND(N2=$D$30,NOT(ISBLANK($D$30)))</formula>
    </cfRule>
    <cfRule type="expression" dxfId="147" priority="66">
      <formula>AND(N2=$D$31,NOT(ISBLANK($D$31)))</formula>
    </cfRule>
    <cfRule type="expression" dxfId="146" priority="67">
      <formula>AND(N2=$D$32,NOT(ISBLANK($D$32)))</formula>
    </cfRule>
    <cfRule type="expression" dxfId="145" priority="68">
      <formula>AND(N2=$D$33,NOT(ISBLANK($D$33)))</formula>
    </cfRule>
    <cfRule type="expression" dxfId="144" priority="69">
      <formula>AND(N2=$D$34,NOT(ISBLANK($D$34)))</formula>
    </cfRule>
    <cfRule type="expression" dxfId="143" priority="70">
      <formula>AND(N2=$D$35,NOT(ISBLANK($D$35)))</formula>
    </cfRule>
    <cfRule type="expression" dxfId="142" priority="71">
      <formula>AND(N2=$D$36,NOT(ISBLANK($D$36)))</formula>
    </cfRule>
  </conditionalFormatting>
  <conditionalFormatting sqref="M2:M25">
    <cfRule type="expression" dxfId="141" priority="32">
      <formula>AND(M2=$D$27,NOT(ISBLANK($D$27)))</formula>
    </cfRule>
    <cfRule type="expression" dxfId="140" priority="33">
      <formula>AND(M2=$D$28,NOT(ISBLANK($D$28)))</formula>
    </cfRule>
    <cfRule type="expression" dxfId="139" priority="34">
      <formula>AND(M2=$D$29,NOT(ISBLANK($D$29)))</formula>
    </cfRule>
    <cfRule type="expression" dxfId="138" priority="35">
      <formula>AND(M2=$D$30,NOT(ISBLANK($D$30)))</formula>
    </cfRule>
    <cfRule type="expression" dxfId="137" priority="36">
      <formula>AND(M2=$D$31,NOT(ISBLANK($D$31)))</formula>
    </cfRule>
    <cfRule type="expression" dxfId="136" priority="37">
      <formula>AND(M2=$D$32,NOT(ISBLANK($D$32)))</formula>
    </cfRule>
    <cfRule type="expression" dxfId="135" priority="38">
      <formula>AND(M2=$D$33,NOT(ISBLANK($D$33)))</formula>
    </cfRule>
    <cfRule type="expression" dxfId="134" priority="39">
      <formula>AND(M2=$D$34,NOT(ISBLANK($D$34)))</formula>
    </cfRule>
    <cfRule type="expression" dxfId="133" priority="40">
      <formula>AND(M2=$D$35,NOT(ISBLANK($D$35)))</formula>
    </cfRule>
    <cfRule type="expression" dxfId="132" priority="41">
      <formula>AND(M2=$D$36,NOT(ISBLANK($D$36)))</formula>
    </cfRule>
  </conditionalFormatting>
  <conditionalFormatting sqref="O2:O25">
    <cfRule type="expression" dxfId="131" priority="22">
      <formula>AND(O2=$D$27,NOT(ISBLANK($D$27)))</formula>
    </cfRule>
    <cfRule type="expression" dxfId="130" priority="23">
      <formula>AND(O2=$D$28,NOT(ISBLANK($D$28)))</formula>
    </cfRule>
    <cfRule type="expression" dxfId="129" priority="24">
      <formula>AND(O2=$D$29,NOT(ISBLANK($D$29)))</formula>
    </cfRule>
    <cfRule type="expression" dxfId="128" priority="25">
      <formula>AND(O2=$D$30,NOT(ISBLANK($D$30)))</formula>
    </cfRule>
    <cfRule type="expression" dxfId="127" priority="26">
      <formula>AND(O2=$D$31,NOT(ISBLANK($D$31)))</formula>
    </cfRule>
    <cfRule type="expression" dxfId="126" priority="27">
      <formula>AND(O2=$D$32,NOT(ISBLANK($D$32)))</formula>
    </cfRule>
    <cfRule type="expression" dxfId="125" priority="28">
      <formula>AND(O2=$D$33,NOT(ISBLANK($D$33)))</formula>
    </cfRule>
    <cfRule type="expression" dxfId="124" priority="29">
      <formula>AND(O2=$D$34,NOT(ISBLANK($D$34)))</formula>
    </cfRule>
    <cfRule type="expression" dxfId="123" priority="30">
      <formula>AND(O2=$D$35,NOT(ISBLANK($D$35)))</formula>
    </cfRule>
    <cfRule type="expression" dxfId="122" priority="31">
      <formula>AND(O2=$D$36,NOT(ISBLANK($D$36)))</formula>
    </cfRule>
  </conditionalFormatting>
  <conditionalFormatting sqref="Q2:Q25">
    <cfRule type="expression" dxfId="121" priority="12">
      <formula>AND(Q2=$D$27,NOT(ISBLANK($D$27)))</formula>
    </cfRule>
    <cfRule type="expression" dxfId="120" priority="13">
      <formula>AND(Q2=$D$28,NOT(ISBLANK($D$28)))</formula>
    </cfRule>
    <cfRule type="expression" dxfId="119" priority="14">
      <formula>AND(Q2=$D$29,NOT(ISBLANK($D$29)))</formula>
    </cfRule>
    <cfRule type="expression" dxfId="118" priority="15">
      <formula>AND(Q2=$D$30,NOT(ISBLANK($D$30)))</formula>
    </cfRule>
    <cfRule type="expression" dxfId="117" priority="16">
      <formula>AND(Q2=$D$31,NOT(ISBLANK($D$31)))</formula>
    </cfRule>
    <cfRule type="expression" dxfId="116" priority="17">
      <formula>AND(Q2=$D$32,NOT(ISBLANK($D$32)))</formula>
    </cfRule>
    <cfRule type="expression" dxfId="115" priority="18">
      <formula>AND(Q2=$D$33,NOT(ISBLANK($D$33)))</formula>
    </cfRule>
    <cfRule type="expression" dxfId="114" priority="19">
      <formula>AND(Q2=$D$34,NOT(ISBLANK($D$34)))</formula>
    </cfRule>
    <cfRule type="expression" dxfId="113" priority="20">
      <formula>AND(Q2=$D$35,NOT(ISBLANK($D$35)))</formula>
    </cfRule>
    <cfRule type="expression" dxfId="112" priority="21">
      <formula>AND(Q2=$D$36,NOT(ISBLANK($D$36)))</formula>
    </cfRule>
  </conditionalFormatting>
  <conditionalFormatting sqref="L2:L25">
    <cfRule type="expression" dxfId="111" priority="52">
      <formula>AND(L2=$D$27,NOT(ISBLANK($D$27)))</formula>
    </cfRule>
    <cfRule type="expression" dxfId="110" priority="53">
      <formula>AND(L2=$D$28,NOT(ISBLANK($D$28)))</formula>
    </cfRule>
    <cfRule type="expression" dxfId="109" priority="54">
      <formula>AND(L2=$D$29,NOT(ISBLANK($D$29)))</formula>
    </cfRule>
    <cfRule type="expression" dxfId="108" priority="55">
      <formula>AND(L2=$D$30,NOT(ISBLANK($D$30)))</formula>
    </cfRule>
    <cfRule type="expression" dxfId="107" priority="56">
      <formula>AND(L2=$D$31,NOT(ISBLANK($D$31)))</formula>
    </cfRule>
    <cfRule type="expression" dxfId="106" priority="57">
      <formula>AND(L2=$D$32,NOT(ISBLANK($D$32)))</formula>
    </cfRule>
    <cfRule type="expression" dxfId="105" priority="58">
      <formula>AND(L2=$D$33,NOT(ISBLANK($D$33)))</formula>
    </cfRule>
    <cfRule type="expression" dxfId="104" priority="59">
      <formula>AND(L2=$D$34,NOT(ISBLANK($D$34)))</formula>
    </cfRule>
    <cfRule type="expression" dxfId="103" priority="60">
      <formula>AND(L2=$D$35,NOT(ISBLANK($D$35)))</formula>
    </cfRule>
    <cfRule type="expression" dxfId="102" priority="61">
      <formula>AND(L2=$D$36,NOT(ISBLANK($D$36)))</formula>
    </cfRule>
  </conditionalFormatting>
  <conditionalFormatting sqref="K2:K25">
    <cfRule type="expression" dxfId="101" priority="42">
      <formula>AND(K2=$D$27,NOT(ISBLANK($D$27)))</formula>
    </cfRule>
    <cfRule type="expression" dxfId="100" priority="43">
      <formula>AND(K2=$D$28,NOT(ISBLANK($D$28)))</formula>
    </cfRule>
    <cfRule type="expression" dxfId="99" priority="44">
      <formula>AND(K2=$D$29,NOT(ISBLANK($D$29)))</formula>
    </cfRule>
    <cfRule type="expression" dxfId="98" priority="45">
      <formula>AND(K2=$D$30,NOT(ISBLANK($D$30)))</formula>
    </cfRule>
    <cfRule type="expression" dxfId="97" priority="46">
      <formula>AND(K2=$D$31,NOT(ISBLANK($D$31)))</formula>
    </cfRule>
    <cfRule type="expression" dxfId="96" priority="47">
      <formula>AND(K2=$D$32,NOT(ISBLANK($D$32)))</formula>
    </cfRule>
    <cfRule type="expression" dxfId="95" priority="48">
      <formula>AND(K2=$D$33,NOT(ISBLANK($D$33)))</formula>
    </cfRule>
    <cfRule type="expression" dxfId="94" priority="49">
      <formula>AND(K2=$D$34,NOT(ISBLANK($D$34)))</formula>
    </cfRule>
    <cfRule type="expression" dxfId="93" priority="50">
      <formula>AND(K2=$D$35,NOT(ISBLANK($D$35)))</formula>
    </cfRule>
    <cfRule type="expression" dxfId="92" priority="51">
      <formula>AND(K2=$D$36,NOT(ISBLANK($D$36)))</formula>
    </cfRule>
  </conditionalFormatting>
  <conditionalFormatting sqref="D27:D36">
    <cfRule type="expression" dxfId="91" priority="2">
      <formula>AND(D27=$D$27,NOT(ISBLANK($D$27)))</formula>
    </cfRule>
    <cfRule type="expression" dxfId="90" priority="3">
      <formula>AND(D27=$D$28,NOT(ISBLANK($D$28)))</formula>
    </cfRule>
    <cfRule type="expression" dxfId="89" priority="4">
      <formula>AND(D27=$D$29,NOT(ISBLANK($D$29)))</formula>
    </cfRule>
    <cfRule type="expression" dxfId="88" priority="5">
      <formula>AND(D27=$D$30,NOT(ISBLANK($D$30)))</formula>
    </cfRule>
    <cfRule type="expression" dxfId="87" priority="6">
      <formula>AND(D27=$D$31,NOT(ISBLANK($D$31)))</formula>
    </cfRule>
    <cfRule type="expression" dxfId="86" priority="7">
      <formula>AND(D27=$D$32,NOT(ISBLANK($D$32)))</formula>
    </cfRule>
    <cfRule type="expression" dxfId="85" priority="8">
      <formula>AND(D27=$D$33,NOT(ISBLANK($D$33)))</formula>
    </cfRule>
    <cfRule type="expression" dxfId="84" priority="9">
      <formula>AND(D27=$D$34,NOT(ISBLANK($D$34)))</formula>
    </cfRule>
    <cfRule type="expression" dxfId="83" priority="10">
      <formula>AND(D27=$D$35,NOT(ISBLANK($D$35)))</formula>
    </cfRule>
    <cfRule type="expression" dxfId="82" priority="11">
      <formula>AND(D27=$D$36,NOT(ISBLANK($D$36)))</formula>
    </cfRule>
  </conditionalFormatting>
  <conditionalFormatting sqref="D27:D36">
    <cfRule type="expression" dxfId="81" priority="1">
      <formula>ISBLANK(D27)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A72AB-F08E-F349-8D3B-24F33920E010}">
  <sheetPr>
    <pageSetUpPr fitToPage="1"/>
  </sheetPr>
  <dimension ref="A1:Q36"/>
  <sheetViews>
    <sheetView workbookViewId="0">
      <selection activeCell="B2" sqref="B2"/>
    </sheetView>
  </sheetViews>
  <sheetFormatPr baseColWidth="10" defaultRowHeight="18" customHeight="1" x14ac:dyDescent="0.2"/>
  <cols>
    <col min="1" max="1" width="3.1640625" bestFit="1" customWidth="1"/>
    <col min="2" max="2" width="9.5" customWidth="1"/>
    <col min="3" max="3" width="3.1640625" bestFit="1" customWidth="1"/>
    <col min="4" max="4" width="9.5" customWidth="1"/>
    <col min="5" max="5" width="3.1640625" bestFit="1" customWidth="1"/>
    <col min="6" max="6" width="9.5" customWidth="1"/>
    <col min="7" max="7" width="4.1640625" bestFit="1" customWidth="1"/>
    <col min="8" max="8" width="9.5" customWidth="1"/>
    <col min="10" max="10" width="7.1640625" style="25" bestFit="1" customWidth="1"/>
    <col min="11" max="11" width="9.33203125" style="44" customWidth="1"/>
    <col min="12" max="12" width="7.1640625" style="26" bestFit="1" customWidth="1"/>
    <col min="13" max="13" width="9.33203125" style="44" customWidth="1"/>
    <col min="14" max="14" width="7.1640625" style="26" bestFit="1" customWidth="1"/>
    <col min="15" max="15" width="9.33203125" style="44" customWidth="1"/>
    <col min="16" max="16" width="8.5" style="26" bestFit="1" customWidth="1"/>
    <col min="17" max="17" width="9.33203125" style="44" customWidth="1"/>
  </cols>
  <sheetData>
    <row r="1" spans="1:17" s="22" customFormat="1" ht="18" customHeight="1" thickBot="1" x14ac:dyDescent="0.25">
      <c r="A1" s="89" t="s">
        <v>0</v>
      </c>
      <c r="B1" s="65" t="s">
        <v>112</v>
      </c>
      <c r="C1" s="64" t="s">
        <v>0</v>
      </c>
      <c r="D1" s="63" t="str">
        <f>$B$1</f>
        <v>gene4</v>
      </c>
      <c r="E1" s="62" t="s">
        <v>0</v>
      </c>
      <c r="F1" s="63" t="str">
        <f t="shared" ref="F1" si="0">$B$1</f>
        <v>gene4</v>
      </c>
      <c r="G1" s="62" t="s">
        <v>0</v>
      </c>
      <c r="H1" s="63" t="str">
        <f t="shared" ref="H1" si="1">$B$1</f>
        <v>gene4</v>
      </c>
      <c r="I1" s="21"/>
      <c r="J1" s="20" t="s">
        <v>0</v>
      </c>
      <c r="K1" s="97" t="str">
        <f>$B$1</f>
        <v>gene4</v>
      </c>
      <c r="L1" s="95" t="s">
        <v>0</v>
      </c>
      <c r="M1" s="97" t="str">
        <f t="shared" ref="M1" si="2">$B$1</f>
        <v>gene4</v>
      </c>
      <c r="N1" s="95" t="s">
        <v>0</v>
      </c>
      <c r="O1" s="97" t="str">
        <f t="shared" ref="O1" si="3">$B$1</f>
        <v>gene4</v>
      </c>
      <c r="P1" s="96" t="s">
        <v>0</v>
      </c>
      <c r="Q1" s="98" t="str">
        <f t="shared" ref="Q1" si="4">$B$1</f>
        <v>gene4</v>
      </c>
    </row>
    <row r="2" spans="1:17" ht="18" customHeight="1" x14ac:dyDescent="0.2">
      <c r="A2" s="66">
        <v>1</v>
      </c>
      <c r="B2" s="67"/>
      <c r="C2" s="68">
        <v>25</v>
      </c>
      <c r="D2" s="67"/>
      <c r="E2" s="68">
        <v>49</v>
      </c>
      <c r="F2" s="67"/>
      <c r="G2" s="68">
        <v>73</v>
      </c>
      <c r="H2" s="67"/>
      <c r="I2" s="69"/>
      <c r="J2" s="53" t="s">
        <v>5</v>
      </c>
      <c r="K2" s="70" t="str">
        <f>IF(B2="","",IFERROR(INDEX($D$27:$D$36,MAX(_xlfn.IFNA(MATCH(B2,$D$27:$D$36,0),-1),_xlfn.IFNA(MATCH(B2,$C$27:$C$36,0),-1),_xlfn.IFNA(MATCH(B2,$B$27:$B$36,0),-1)),1),B2))</f>
        <v/>
      </c>
      <c r="L2" s="53" t="s">
        <v>6</v>
      </c>
      <c r="M2" s="70" t="str">
        <f>IF(D2="","",IFERROR(INDEX($D$27:$D$36,MAX(_xlfn.IFNA(MATCH(D2,$D$27:$D$36,0),-1),_xlfn.IFNA(MATCH(D2,$C$27:$C$36,0),-1),_xlfn.IFNA(MATCH(D2,$B$27:$B$36,0),-1)),1),D2))</f>
        <v/>
      </c>
      <c r="N2" s="53" t="s">
        <v>7</v>
      </c>
      <c r="O2" s="70" t="str">
        <f>IF(F2="","",IFERROR(INDEX($D$27:$D$36,MAX(_xlfn.IFNA(MATCH(F2,$D$27:$D$36,0),-1),_xlfn.IFNA(MATCH(F2,$C$27:$C$36,0),-1),_xlfn.IFNA(MATCH(F2,$B$27:$B$36,0),-1)),1),F2))</f>
        <v/>
      </c>
      <c r="P2" s="53" t="s">
        <v>8</v>
      </c>
      <c r="Q2" s="70" t="str">
        <f>IF(H2="","",IFERROR(INDEX($D$27:$D$36,MAX(_xlfn.IFNA(MATCH(H2,$D$27:$D$36,0),-1),_xlfn.IFNA(MATCH(H2,$C$27:$C$36,0),-1),_xlfn.IFNA(MATCH(H2,$B$27:$B$36,0),-1)),1),H2))</f>
        <v/>
      </c>
    </row>
    <row r="3" spans="1:17" ht="18" customHeight="1" x14ac:dyDescent="0.2">
      <c r="A3" s="66">
        <v>2</v>
      </c>
      <c r="B3" s="71"/>
      <c r="C3" s="68">
        <v>26</v>
      </c>
      <c r="D3" s="71"/>
      <c r="E3" s="68">
        <v>50</v>
      </c>
      <c r="F3" s="71"/>
      <c r="G3" s="68">
        <v>74</v>
      </c>
      <c r="H3" s="71"/>
      <c r="I3" s="69"/>
      <c r="J3" s="55" t="s">
        <v>9</v>
      </c>
      <c r="K3" s="72" t="str">
        <f t="shared" ref="K3:Q25" si="5">IF(B3="","",IFERROR(INDEX($D$27:$D$36,MAX(_xlfn.IFNA(MATCH(B3,$D$27:$D$36,0),-1),_xlfn.IFNA(MATCH(B3,$C$27:$C$36,0),-1),_xlfn.IFNA(MATCH(B3,$B$27:$B$36,0),-1)),1),B3))</f>
        <v/>
      </c>
      <c r="L3" s="55" t="s">
        <v>10</v>
      </c>
      <c r="M3" s="72" t="str">
        <f t="shared" si="5"/>
        <v/>
      </c>
      <c r="N3" s="55" t="s">
        <v>11</v>
      </c>
      <c r="O3" s="72" t="str">
        <f t="shared" si="5"/>
        <v/>
      </c>
      <c r="P3" s="55" t="s">
        <v>12</v>
      </c>
      <c r="Q3" s="72" t="str">
        <f t="shared" si="5"/>
        <v/>
      </c>
    </row>
    <row r="4" spans="1:17" ht="18" customHeight="1" x14ac:dyDescent="0.2">
      <c r="A4" s="66">
        <v>3</v>
      </c>
      <c r="B4" s="71"/>
      <c r="C4" s="68">
        <v>27</v>
      </c>
      <c r="D4" s="71"/>
      <c r="E4" s="68">
        <v>51</v>
      </c>
      <c r="F4" s="71"/>
      <c r="G4" s="68">
        <v>75</v>
      </c>
      <c r="H4" s="71"/>
      <c r="I4" s="69"/>
      <c r="J4" s="55" t="s">
        <v>13</v>
      </c>
      <c r="K4" s="72" t="str">
        <f t="shared" si="5"/>
        <v/>
      </c>
      <c r="L4" s="55" t="s">
        <v>14</v>
      </c>
      <c r="M4" s="72" t="str">
        <f t="shared" si="5"/>
        <v/>
      </c>
      <c r="N4" s="55" t="s">
        <v>15</v>
      </c>
      <c r="O4" s="72" t="str">
        <f t="shared" si="5"/>
        <v/>
      </c>
      <c r="P4" s="55" t="s">
        <v>16</v>
      </c>
      <c r="Q4" s="72" t="str">
        <f t="shared" si="5"/>
        <v/>
      </c>
    </row>
    <row r="5" spans="1:17" ht="18" customHeight="1" x14ac:dyDescent="0.2">
      <c r="A5" s="66">
        <v>4</v>
      </c>
      <c r="B5" s="71"/>
      <c r="C5" s="68">
        <v>28</v>
      </c>
      <c r="D5" s="71"/>
      <c r="E5" s="68">
        <v>52</v>
      </c>
      <c r="F5" s="71"/>
      <c r="G5" s="68">
        <v>76</v>
      </c>
      <c r="H5" s="71"/>
      <c r="I5" s="69"/>
      <c r="J5" s="55" t="s">
        <v>17</v>
      </c>
      <c r="K5" s="72" t="str">
        <f t="shared" si="5"/>
        <v/>
      </c>
      <c r="L5" s="55" t="s">
        <v>18</v>
      </c>
      <c r="M5" s="72" t="str">
        <f t="shared" si="5"/>
        <v/>
      </c>
      <c r="N5" s="55" t="s">
        <v>19</v>
      </c>
      <c r="O5" s="72" t="str">
        <f t="shared" si="5"/>
        <v/>
      </c>
      <c r="P5" s="55" t="s">
        <v>20</v>
      </c>
      <c r="Q5" s="72" t="str">
        <f t="shared" si="5"/>
        <v/>
      </c>
    </row>
    <row r="6" spans="1:17" ht="18" customHeight="1" x14ac:dyDescent="0.2">
      <c r="A6" s="66">
        <v>5</v>
      </c>
      <c r="B6" s="71"/>
      <c r="C6" s="68">
        <v>29</v>
      </c>
      <c r="D6" s="71"/>
      <c r="E6" s="68">
        <v>53</v>
      </c>
      <c r="F6" s="71"/>
      <c r="G6" s="68">
        <v>77</v>
      </c>
      <c r="H6" s="71"/>
      <c r="I6" s="69"/>
      <c r="J6" s="55" t="s">
        <v>89</v>
      </c>
      <c r="K6" s="72" t="str">
        <f t="shared" si="5"/>
        <v/>
      </c>
      <c r="L6" s="55" t="s">
        <v>95</v>
      </c>
      <c r="M6" s="72" t="str">
        <f t="shared" si="5"/>
        <v/>
      </c>
      <c r="N6" s="55" t="s">
        <v>96</v>
      </c>
      <c r="O6" s="72" t="str">
        <f t="shared" si="5"/>
        <v/>
      </c>
      <c r="P6" s="55" t="s">
        <v>97</v>
      </c>
      <c r="Q6" s="72" t="str">
        <f t="shared" si="5"/>
        <v/>
      </c>
    </row>
    <row r="7" spans="1:17" ht="18" customHeight="1" x14ac:dyDescent="0.2">
      <c r="A7" s="66">
        <v>6</v>
      </c>
      <c r="B7" s="71"/>
      <c r="C7" s="68">
        <v>30</v>
      </c>
      <c r="D7" s="71"/>
      <c r="E7" s="68">
        <v>54</v>
      </c>
      <c r="F7" s="71"/>
      <c r="G7" s="68">
        <v>78</v>
      </c>
      <c r="H7" s="71"/>
      <c r="I7" s="69"/>
      <c r="J7" s="55" t="s">
        <v>21</v>
      </c>
      <c r="K7" s="72" t="str">
        <f t="shared" si="5"/>
        <v/>
      </c>
      <c r="L7" s="55" t="s">
        <v>22</v>
      </c>
      <c r="M7" s="72" t="str">
        <f t="shared" si="5"/>
        <v/>
      </c>
      <c r="N7" s="55" t="s">
        <v>23</v>
      </c>
      <c r="O7" s="72" t="str">
        <f t="shared" si="5"/>
        <v/>
      </c>
      <c r="P7" s="55" t="s">
        <v>24</v>
      </c>
      <c r="Q7" s="72" t="str">
        <f t="shared" si="5"/>
        <v/>
      </c>
    </row>
    <row r="8" spans="1:17" ht="18" customHeight="1" x14ac:dyDescent="0.2">
      <c r="A8" s="66">
        <v>7</v>
      </c>
      <c r="B8" s="71"/>
      <c r="C8" s="68">
        <v>31</v>
      </c>
      <c r="D8" s="71"/>
      <c r="E8" s="68">
        <v>55</v>
      </c>
      <c r="F8" s="71"/>
      <c r="G8" s="68">
        <v>79</v>
      </c>
      <c r="H8" s="71"/>
      <c r="I8" s="69"/>
      <c r="J8" s="55" t="s">
        <v>25</v>
      </c>
      <c r="K8" s="72" t="str">
        <f t="shared" si="5"/>
        <v/>
      </c>
      <c r="L8" s="55" t="s">
        <v>26</v>
      </c>
      <c r="M8" s="72" t="str">
        <f t="shared" si="5"/>
        <v/>
      </c>
      <c r="N8" s="55" t="s">
        <v>27</v>
      </c>
      <c r="O8" s="72" t="str">
        <f t="shared" si="5"/>
        <v/>
      </c>
      <c r="P8" s="55" t="s">
        <v>28</v>
      </c>
      <c r="Q8" s="72" t="str">
        <f t="shared" si="5"/>
        <v/>
      </c>
    </row>
    <row r="9" spans="1:17" ht="18" customHeight="1" thickBot="1" x14ac:dyDescent="0.25">
      <c r="A9" s="73">
        <v>8</v>
      </c>
      <c r="B9" s="74"/>
      <c r="C9" s="75">
        <v>32</v>
      </c>
      <c r="D9" s="74"/>
      <c r="E9" s="75">
        <v>56</v>
      </c>
      <c r="F9" s="74"/>
      <c r="G9" s="75">
        <v>80</v>
      </c>
      <c r="H9" s="74"/>
      <c r="I9" s="69"/>
      <c r="J9" s="57" t="s">
        <v>29</v>
      </c>
      <c r="K9" s="76" t="str">
        <f t="shared" si="5"/>
        <v/>
      </c>
      <c r="L9" s="57" t="s">
        <v>30</v>
      </c>
      <c r="M9" s="76" t="str">
        <f t="shared" si="5"/>
        <v/>
      </c>
      <c r="N9" s="57" t="s">
        <v>31</v>
      </c>
      <c r="O9" s="76" t="str">
        <f t="shared" si="5"/>
        <v/>
      </c>
      <c r="P9" s="57" t="s">
        <v>32</v>
      </c>
      <c r="Q9" s="76" t="str">
        <f t="shared" si="5"/>
        <v/>
      </c>
    </row>
    <row r="10" spans="1:17" ht="18" customHeight="1" x14ac:dyDescent="0.2">
      <c r="A10" s="66">
        <v>9</v>
      </c>
      <c r="B10" s="77"/>
      <c r="C10" s="68">
        <v>33</v>
      </c>
      <c r="D10" s="77"/>
      <c r="E10" s="68">
        <v>57</v>
      </c>
      <c r="F10" s="77"/>
      <c r="G10" s="68">
        <v>81</v>
      </c>
      <c r="H10" s="77"/>
      <c r="I10" s="69"/>
      <c r="J10" s="53" t="s">
        <v>33</v>
      </c>
      <c r="K10" s="70" t="str">
        <f t="shared" si="5"/>
        <v/>
      </c>
      <c r="L10" s="53" t="s">
        <v>34</v>
      </c>
      <c r="M10" s="70" t="str">
        <f t="shared" si="5"/>
        <v/>
      </c>
      <c r="N10" s="53" t="s">
        <v>35</v>
      </c>
      <c r="O10" s="70" t="str">
        <f t="shared" si="5"/>
        <v/>
      </c>
      <c r="P10" s="53" t="s">
        <v>36</v>
      </c>
      <c r="Q10" s="70" t="str">
        <f t="shared" si="5"/>
        <v/>
      </c>
    </row>
    <row r="11" spans="1:17" ht="18" customHeight="1" x14ac:dyDescent="0.2">
      <c r="A11" s="66">
        <v>10</v>
      </c>
      <c r="B11" s="71"/>
      <c r="C11" s="68">
        <v>34</v>
      </c>
      <c r="D11" s="71"/>
      <c r="E11" s="68">
        <v>58</v>
      </c>
      <c r="F11" s="71"/>
      <c r="G11" s="68">
        <v>82</v>
      </c>
      <c r="H11" s="71"/>
      <c r="I11" s="69"/>
      <c r="J11" s="55" t="s">
        <v>37</v>
      </c>
      <c r="K11" s="72" t="str">
        <f t="shared" si="5"/>
        <v/>
      </c>
      <c r="L11" s="55" t="s">
        <v>38</v>
      </c>
      <c r="M11" s="72" t="str">
        <f t="shared" si="5"/>
        <v/>
      </c>
      <c r="N11" s="55" t="s">
        <v>39</v>
      </c>
      <c r="O11" s="72" t="str">
        <f t="shared" si="5"/>
        <v/>
      </c>
      <c r="P11" s="55" t="s">
        <v>40</v>
      </c>
      <c r="Q11" s="72" t="str">
        <f t="shared" si="5"/>
        <v/>
      </c>
    </row>
    <row r="12" spans="1:17" ht="18" customHeight="1" x14ac:dyDescent="0.2">
      <c r="A12" s="66">
        <v>11</v>
      </c>
      <c r="B12" s="71"/>
      <c r="C12" s="68">
        <v>35</v>
      </c>
      <c r="D12" s="71"/>
      <c r="E12" s="68">
        <v>59</v>
      </c>
      <c r="F12" s="71"/>
      <c r="G12" s="68">
        <v>83</v>
      </c>
      <c r="H12" s="71"/>
      <c r="I12" s="69"/>
      <c r="J12" s="55" t="s">
        <v>41</v>
      </c>
      <c r="K12" s="72" t="str">
        <f t="shared" si="5"/>
        <v/>
      </c>
      <c r="L12" s="55" t="s">
        <v>42</v>
      </c>
      <c r="M12" s="72" t="str">
        <f t="shared" si="5"/>
        <v/>
      </c>
      <c r="N12" s="55" t="s">
        <v>43</v>
      </c>
      <c r="O12" s="72" t="str">
        <f t="shared" si="5"/>
        <v/>
      </c>
      <c r="P12" s="55" t="s">
        <v>44</v>
      </c>
      <c r="Q12" s="72" t="str">
        <f t="shared" si="5"/>
        <v/>
      </c>
    </row>
    <row r="13" spans="1:17" ht="18" customHeight="1" x14ac:dyDescent="0.2">
      <c r="A13" s="66">
        <v>12</v>
      </c>
      <c r="B13" s="71"/>
      <c r="C13" s="68">
        <v>36</v>
      </c>
      <c r="D13" s="71"/>
      <c r="E13" s="68">
        <v>60</v>
      </c>
      <c r="F13" s="71"/>
      <c r="G13" s="68">
        <v>84</v>
      </c>
      <c r="H13" s="71"/>
      <c r="I13" s="69"/>
      <c r="J13" s="55" t="s">
        <v>45</v>
      </c>
      <c r="K13" s="72" t="str">
        <f t="shared" si="5"/>
        <v/>
      </c>
      <c r="L13" s="55" t="s">
        <v>46</v>
      </c>
      <c r="M13" s="72" t="str">
        <f t="shared" si="5"/>
        <v/>
      </c>
      <c r="N13" s="55" t="s">
        <v>47</v>
      </c>
      <c r="O13" s="72" t="str">
        <f t="shared" si="5"/>
        <v/>
      </c>
      <c r="P13" s="55" t="s">
        <v>48</v>
      </c>
      <c r="Q13" s="72" t="str">
        <f t="shared" si="5"/>
        <v/>
      </c>
    </row>
    <row r="14" spans="1:17" ht="18" customHeight="1" x14ac:dyDescent="0.2">
      <c r="A14" s="66">
        <v>13</v>
      </c>
      <c r="B14" s="71"/>
      <c r="C14" s="68">
        <v>37</v>
      </c>
      <c r="D14" s="71"/>
      <c r="E14" s="68">
        <v>61</v>
      </c>
      <c r="F14" s="71"/>
      <c r="G14" s="68">
        <v>85</v>
      </c>
      <c r="H14" s="71"/>
      <c r="I14" s="69"/>
      <c r="J14" s="55" t="s">
        <v>90</v>
      </c>
      <c r="K14" s="72" t="str">
        <f t="shared" si="5"/>
        <v/>
      </c>
      <c r="L14" s="55" t="s">
        <v>98</v>
      </c>
      <c r="M14" s="72" t="str">
        <f t="shared" si="5"/>
        <v/>
      </c>
      <c r="N14" s="55" t="s">
        <v>99</v>
      </c>
      <c r="O14" s="72" t="str">
        <f t="shared" si="5"/>
        <v/>
      </c>
      <c r="P14" s="55" t="s">
        <v>100</v>
      </c>
      <c r="Q14" s="72" t="str">
        <f t="shared" si="5"/>
        <v/>
      </c>
    </row>
    <row r="15" spans="1:17" ht="18" customHeight="1" x14ac:dyDescent="0.2">
      <c r="A15" s="66">
        <v>14</v>
      </c>
      <c r="B15" s="71"/>
      <c r="C15" s="68">
        <v>38</v>
      </c>
      <c r="D15" s="71"/>
      <c r="E15" s="68">
        <v>62</v>
      </c>
      <c r="F15" s="71"/>
      <c r="G15" s="68">
        <v>86</v>
      </c>
      <c r="H15" s="71"/>
      <c r="I15" s="69"/>
      <c r="J15" s="55" t="s">
        <v>49</v>
      </c>
      <c r="K15" s="72" t="str">
        <f t="shared" si="5"/>
        <v/>
      </c>
      <c r="L15" s="55" t="s">
        <v>50</v>
      </c>
      <c r="M15" s="72" t="str">
        <f t="shared" si="5"/>
        <v/>
      </c>
      <c r="N15" s="55" t="s">
        <v>51</v>
      </c>
      <c r="O15" s="72" t="str">
        <f t="shared" si="5"/>
        <v/>
      </c>
      <c r="P15" s="55" t="s">
        <v>52</v>
      </c>
      <c r="Q15" s="72" t="str">
        <f t="shared" si="5"/>
        <v/>
      </c>
    </row>
    <row r="16" spans="1:17" ht="18" customHeight="1" x14ac:dyDescent="0.2">
      <c r="A16" s="66">
        <v>15</v>
      </c>
      <c r="B16" s="71"/>
      <c r="C16" s="68">
        <v>39</v>
      </c>
      <c r="D16" s="71"/>
      <c r="E16" s="68">
        <v>63</v>
      </c>
      <c r="F16" s="71"/>
      <c r="G16" s="68">
        <v>87</v>
      </c>
      <c r="H16" s="71"/>
      <c r="I16" s="69"/>
      <c r="J16" s="55" t="s">
        <v>53</v>
      </c>
      <c r="K16" s="72" t="str">
        <f t="shared" si="5"/>
        <v/>
      </c>
      <c r="L16" s="55" t="s">
        <v>54</v>
      </c>
      <c r="M16" s="72" t="str">
        <f t="shared" si="5"/>
        <v/>
      </c>
      <c r="N16" s="55" t="s">
        <v>55</v>
      </c>
      <c r="O16" s="72" t="str">
        <f t="shared" si="5"/>
        <v/>
      </c>
      <c r="P16" s="55" t="s">
        <v>56</v>
      </c>
      <c r="Q16" s="72" t="str">
        <f t="shared" si="5"/>
        <v/>
      </c>
    </row>
    <row r="17" spans="1:17" ht="18" customHeight="1" thickBot="1" x14ac:dyDescent="0.25">
      <c r="A17" s="73">
        <v>16</v>
      </c>
      <c r="B17" s="74"/>
      <c r="C17" s="75">
        <v>40</v>
      </c>
      <c r="D17" s="74"/>
      <c r="E17" s="75">
        <v>64</v>
      </c>
      <c r="F17" s="74"/>
      <c r="G17" s="75">
        <v>88</v>
      </c>
      <c r="H17" s="74"/>
      <c r="I17" s="69"/>
      <c r="J17" s="57" t="s">
        <v>57</v>
      </c>
      <c r="K17" s="76" t="str">
        <f t="shared" si="5"/>
        <v/>
      </c>
      <c r="L17" s="57" t="s">
        <v>58</v>
      </c>
      <c r="M17" s="76" t="str">
        <f t="shared" si="5"/>
        <v/>
      </c>
      <c r="N17" s="57" t="s">
        <v>59</v>
      </c>
      <c r="O17" s="76" t="str">
        <f t="shared" si="5"/>
        <v/>
      </c>
      <c r="P17" s="57" t="s">
        <v>60</v>
      </c>
      <c r="Q17" s="76" t="str">
        <f t="shared" si="5"/>
        <v/>
      </c>
    </row>
    <row r="18" spans="1:17" ht="18" customHeight="1" x14ac:dyDescent="0.2">
      <c r="A18" s="66">
        <v>17</v>
      </c>
      <c r="B18" s="77"/>
      <c r="C18" s="68">
        <v>41</v>
      </c>
      <c r="D18" s="77"/>
      <c r="E18" s="68">
        <v>65</v>
      </c>
      <c r="F18" s="77"/>
      <c r="G18" s="68">
        <v>89</v>
      </c>
      <c r="H18" s="77"/>
      <c r="I18" s="69"/>
      <c r="J18" s="53" t="s">
        <v>61</v>
      </c>
      <c r="K18" s="70" t="str">
        <f t="shared" si="5"/>
        <v/>
      </c>
      <c r="L18" s="53" t="s">
        <v>62</v>
      </c>
      <c r="M18" s="70" t="str">
        <f t="shared" si="5"/>
        <v/>
      </c>
      <c r="N18" s="53" t="s">
        <v>63</v>
      </c>
      <c r="O18" s="70" t="str">
        <f t="shared" si="5"/>
        <v/>
      </c>
      <c r="P18" s="53" t="s">
        <v>64</v>
      </c>
      <c r="Q18" s="70" t="str">
        <f t="shared" si="5"/>
        <v/>
      </c>
    </row>
    <row r="19" spans="1:17" ht="18" customHeight="1" x14ac:dyDescent="0.2">
      <c r="A19" s="66">
        <v>18</v>
      </c>
      <c r="B19" s="71"/>
      <c r="C19" s="68">
        <v>42</v>
      </c>
      <c r="D19" s="71"/>
      <c r="E19" s="68">
        <v>66</v>
      </c>
      <c r="F19" s="71"/>
      <c r="G19" s="68">
        <v>90</v>
      </c>
      <c r="H19" s="71"/>
      <c r="I19" s="69"/>
      <c r="J19" s="55" t="s">
        <v>65</v>
      </c>
      <c r="K19" s="72" t="str">
        <f t="shared" si="5"/>
        <v/>
      </c>
      <c r="L19" s="55" t="s">
        <v>66</v>
      </c>
      <c r="M19" s="72" t="str">
        <f t="shared" si="5"/>
        <v/>
      </c>
      <c r="N19" s="55" t="s">
        <v>67</v>
      </c>
      <c r="O19" s="72" t="str">
        <f t="shared" si="5"/>
        <v/>
      </c>
      <c r="P19" s="55" t="s">
        <v>68</v>
      </c>
      <c r="Q19" s="72" t="str">
        <f t="shared" si="5"/>
        <v/>
      </c>
    </row>
    <row r="20" spans="1:17" ht="18" customHeight="1" x14ac:dyDescent="0.2">
      <c r="A20" s="66">
        <v>19</v>
      </c>
      <c r="B20" s="71"/>
      <c r="C20" s="68">
        <v>43</v>
      </c>
      <c r="D20" s="71"/>
      <c r="E20" s="68">
        <v>67</v>
      </c>
      <c r="F20" s="71"/>
      <c r="G20" s="68">
        <v>91</v>
      </c>
      <c r="H20" s="71"/>
      <c r="I20" s="69"/>
      <c r="J20" s="55" t="s">
        <v>69</v>
      </c>
      <c r="K20" s="72" t="str">
        <f t="shared" si="5"/>
        <v/>
      </c>
      <c r="L20" s="55" t="s">
        <v>70</v>
      </c>
      <c r="M20" s="72" t="str">
        <f t="shared" si="5"/>
        <v/>
      </c>
      <c r="N20" s="55" t="s">
        <v>71</v>
      </c>
      <c r="O20" s="72" t="str">
        <f t="shared" si="5"/>
        <v/>
      </c>
      <c r="P20" s="55" t="s">
        <v>72</v>
      </c>
      <c r="Q20" s="72" t="str">
        <f t="shared" si="5"/>
        <v/>
      </c>
    </row>
    <row r="21" spans="1:17" ht="18" customHeight="1" x14ac:dyDescent="0.2">
      <c r="A21" s="66">
        <v>20</v>
      </c>
      <c r="B21" s="71"/>
      <c r="C21" s="68">
        <v>44</v>
      </c>
      <c r="D21" s="71"/>
      <c r="E21" s="68">
        <v>68</v>
      </c>
      <c r="F21" s="71"/>
      <c r="G21" s="68">
        <v>92</v>
      </c>
      <c r="H21" s="71"/>
      <c r="I21" s="69"/>
      <c r="J21" s="55" t="s">
        <v>73</v>
      </c>
      <c r="K21" s="72" t="str">
        <f t="shared" si="5"/>
        <v/>
      </c>
      <c r="L21" s="55" t="s">
        <v>74</v>
      </c>
      <c r="M21" s="72" t="str">
        <f t="shared" si="5"/>
        <v/>
      </c>
      <c r="N21" s="55" t="s">
        <v>75</v>
      </c>
      <c r="O21" s="72" t="str">
        <f t="shared" si="5"/>
        <v/>
      </c>
      <c r="P21" s="55" t="s">
        <v>76</v>
      </c>
      <c r="Q21" s="72" t="str">
        <f t="shared" si="5"/>
        <v/>
      </c>
    </row>
    <row r="22" spans="1:17" ht="18" customHeight="1" x14ac:dyDescent="0.2">
      <c r="A22" s="66">
        <v>21</v>
      </c>
      <c r="B22" s="71"/>
      <c r="C22" s="68">
        <v>45</v>
      </c>
      <c r="D22" s="71"/>
      <c r="E22" s="68">
        <v>69</v>
      </c>
      <c r="F22" s="71"/>
      <c r="G22" s="68">
        <v>93</v>
      </c>
      <c r="H22" s="71"/>
      <c r="I22" s="69"/>
      <c r="J22" s="55" t="s">
        <v>91</v>
      </c>
      <c r="K22" s="72" t="str">
        <f t="shared" si="5"/>
        <v/>
      </c>
      <c r="L22" s="55" t="s">
        <v>92</v>
      </c>
      <c r="M22" s="72" t="str">
        <f t="shared" si="5"/>
        <v/>
      </c>
      <c r="N22" s="55" t="s">
        <v>93</v>
      </c>
      <c r="O22" s="72" t="str">
        <f t="shared" si="5"/>
        <v/>
      </c>
      <c r="P22" s="55" t="s">
        <v>94</v>
      </c>
      <c r="Q22" s="72" t="str">
        <f t="shared" si="5"/>
        <v/>
      </c>
    </row>
    <row r="23" spans="1:17" ht="18" customHeight="1" x14ac:dyDescent="0.2">
      <c r="A23" s="66">
        <v>22</v>
      </c>
      <c r="B23" s="71"/>
      <c r="C23" s="68">
        <v>46</v>
      </c>
      <c r="D23" s="71"/>
      <c r="E23" s="68">
        <v>70</v>
      </c>
      <c r="F23" s="71"/>
      <c r="G23" s="68">
        <v>94</v>
      </c>
      <c r="H23" s="71"/>
      <c r="I23" s="69"/>
      <c r="J23" s="55" t="s">
        <v>77</v>
      </c>
      <c r="K23" s="72" t="str">
        <f t="shared" si="5"/>
        <v/>
      </c>
      <c r="L23" s="55" t="s">
        <v>78</v>
      </c>
      <c r="M23" s="72" t="str">
        <f t="shared" si="5"/>
        <v/>
      </c>
      <c r="N23" s="55" t="s">
        <v>79</v>
      </c>
      <c r="O23" s="72" t="str">
        <f t="shared" si="5"/>
        <v/>
      </c>
      <c r="P23" s="55" t="s">
        <v>80</v>
      </c>
      <c r="Q23" s="72" t="str">
        <f t="shared" si="5"/>
        <v/>
      </c>
    </row>
    <row r="24" spans="1:17" ht="18" customHeight="1" x14ac:dyDescent="0.2">
      <c r="A24" s="66">
        <v>23</v>
      </c>
      <c r="B24" s="71"/>
      <c r="C24" s="68">
        <v>47</v>
      </c>
      <c r="D24" s="71"/>
      <c r="E24" s="68">
        <v>71</v>
      </c>
      <c r="F24" s="71"/>
      <c r="G24" s="68">
        <v>95</v>
      </c>
      <c r="H24" s="71"/>
      <c r="I24" s="69"/>
      <c r="J24" s="55" t="s">
        <v>81</v>
      </c>
      <c r="K24" s="72" t="str">
        <f t="shared" si="5"/>
        <v/>
      </c>
      <c r="L24" s="55" t="s">
        <v>82</v>
      </c>
      <c r="M24" s="72" t="str">
        <f t="shared" si="5"/>
        <v/>
      </c>
      <c r="N24" s="55" t="s">
        <v>83</v>
      </c>
      <c r="O24" s="72" t="str">
        <f t="shared" si="5"/>
        <v/>
      </c>
      <c r="P24" s="55" t="s">
        <v>84</v>
      </c>
      <c r="Q24" s="72" t="str">
        <f t="shared" si="5"/>
        <v/>
      </c>
    </row>
    <row r="25" spans="1:17" ht="18" customHeight="1" thickBot="1" x14ac:dyDescent="0.25">
      <c r="A25" s="73">
        <v>24</v>
      </c>
      <c r="B25" s="74"/>
      <c r="C25" s="75">
        <v>48</v>
      </c>
      <c r="D25" s="74"/>
      <c r="E25" s="75">
        <v>72</v>
      </c>
      <c r="F25" s="74"/>
      <c r="G25" s="75">
        <v>96</v>
      </c>
      <c r="H25" s="74"/>
      <c r="I25" s="69"/>
      <c r="J25" s="57" t="s">
        <v>85</v>
      </c>
      <c r="K25" s="76" t="str">
        <f t="shared" si="5"/>
        <v/>
      </c>
      <c r="L25" s="57" t="s">
        <v>86</v>
      </c>
      <c r="M25" s="76" t="str">
        <f t="shared" si="5"/>
        <v/>
      </c>
      <c r="N25" s="57" t="s">
        <v>87</v>
      </c>
      <c r="O25" s="76" t="str">
        <f t="shared" si="5"/>
        <v/>
      </c>
      <c r="P25" s="57" t="s">
        <v>88</v>
      </c>
      <c r="Q25" s="76" t="str">
        <f t="shared" si="5"/>
        <v/>
      </c>
    </row>
    <row r="26" spans="1:17" ht="18" customHeight="1" x14ac:dyDescent="0.2">
      <c r="A26" s="101" t="s">
        <v>113</v>
      </c>
      <c r="B26" s="101"/>
      <c r="C26" s="101"/>
      <c r="D26" s="101"/>
      <c r="E26" s="90"/>
      <c r="F26" s="92" t="s">
        <v>114</v>
      </c>
      <c r="G26" s="90"/>
      <c r="H26" s="90"/>
      <c r="I26" s="3"/>
      <c r="J26" s="103"/>
      <c r="K26" s="103"/>
      <c r="L26" s="103"/>
      <c r="M26" s="103"/>
      <c r="N26" s="103"/>
      <c r="O26" s="103"/>
      <c r="P26" s="103"/>
      <c r="Q26" s="103"/>
    </row>
    <row r="27" spans="1:17" ht="18" customHeight="1" x14ac:dyDescent="0.2">
      <c r="A27" s="102" t="s">
        <v>104</v>
      </c>
      <c r="B27" s="102"/>
      <c r="C27" s="93" t="str">
        <f>LEFT(A27,1)</f>
        <v>m</v>
      </c>
      <c r="D27" s="94">
        <v>0</v>
      </c>
      <c r="E27" s="3"/>
      <c r="F27" s="3">
        <f>COUNTIF($K$2:$Q$25,D27)</f>
        <v>0</v>
      </c>
      <c r="G27" s="3"/>
      <c r="H27" s="3"/>
      <c r="I27" s="3"/>
      <c r="J27" s="23"/>
      <c r="K27" s="3"/>
      <c r="L27" s="24"/>
      <c r="M27" s="3"/>
      <c r="N27" s="24"/>
      <c r="O27" s="3"/>
      <c r="P27" s="24"/>
      <c r="Q27" s="3"/>
    </row>
    <row r="28" spans="1:17" ht="18" customHeight="1" x14ac:dyDescent="0.2">
      <c r="A28" s="102" t="s">
        <v>103</v>
      </c>
      <c r="B28" s="102"/>
      <c r="C28" s="93" t="str">
        <f t="shared" ref="C28:C36" si="6">LEFT(A28,1)</f>
        <v>h</v>
      </c>
      <c r="D28" s="94">
        <v>1</v>
      </c>
      <c r="E28" s="3"/>
      <c r="F28" s="3">
        <f>COUNTIF($K$2:$Q$25,D28)</f>
        <v>0</v>
      </c>
      <c r="G28" s="3"/>
      <c r="H28" s="3"/>
      <c r="I28" s="3"/>
      <c r="J28" s="23"/>
      <c r="K28" s="3"/>
      <c r="L28" s="24"/>
      <c r="M28" s="3"/>
      <c r="N28" s="24"/>
      <c r="O28" s="3"/>
      <c r="P28" s="24"/>
      <c r="Q28" s="3"/>
    </row>
    <row r="29" spans="1:17" ht="18" customHeight="1" x14ac:dyDescent="0.2">
      <c r="A29" s="102" t="s">
        <v>102</v>
      </c>
      <c r="B29" s="102"/>
      <c r="C29" s="93" t="str">
        <f t="shared" si="6"/>
        <v>w</v>
      </c>
      <c r="D29" s="94">
        <v>2</v>
      </c>
      <c r="E29" s="3"/>
      <c r="F29" s="3">
        <f>COUNTIF($K$2:$Q$25,D29)</f>
        <v>0</v>
      </c>
      <c r="G29" s="3"/>
      <c r="H29" s="3"/>
      <c r="I29" s="3"/>
      <c r="J29" s="23"/>
      <c r="K29" s="19"/>
      <c r="L29" s="24"/>
      <c r="M29" s="3"/>
      <c r="N29" s="24"/>
      <c r="O29" s="3"/>
      <c r="P29" s="24"/>
      <c r="Q29" s="3"/>
    </row>
    <row r="30" spans="1:17" ht="18" customHeight="1" x14ac:dyDescent="0.2">
      <c r="A30" s="102"/>
      <c r="B30" s="102"/>
      <c r="C30" s="93" t="str">
        <f t="shared" si="6"/>
        <v/>
      </c>
      <c r="D30" s="94">
        <v>3</v>
      </c>
      <c r="F30" s="3">
        <f t="shared" ref="F30:F35" si="7">COUNTIF($K$2:$Q$25,D30)</f>
        <v>0</v>
      </c>
      <c r="I30" s="3"/>
      <c r="J30" s="23"/>
      <c r="K30" s="3"/>
      <c r="L30" s="24"/>
      <c r="M30" s="3"/>
      <c r="N30" s="24"/>
      <c r="O30" s="3"/>
      <c r="P30" s="24"/>
      <c r="Q30" s="3"/>
    </row>
    <row r="31" spans="1:17" ht="18" customHeight="1" x14ac:dyDescent="0.2">
      <c r="A31" s="102"/>
      <c r="B31" s="102"/>
      <c r="C31" s="93" t="str">
        <f t="shared" si="6"/>
        <v/>
      </c>
      <c r="D31" s="94">
        <v>4</v>
      </c>
      <c r="F31" s="3">
        <f t="shared" si="7"/>
        <v>0</v>
      </c>
      <c r="I31" s="3"/>
      <c r="J31" s="23"/>
      <c r="K31" s="3"/>
      <c r="L31" s="24"/>
      <c r="M31" s="3"/>
      <c r="N31" s="24"/>
      <c r="O31" s="3"/>
      <c r="P31" s="24"/>
      <c r="Q31" s="3"/>
    </row>
    <row r="32" spans="1:17" ht="18" customHeight="1" x14ac:dyDescent="0.2">
      <c r="A32" s="102"/>
      <c r="B32" s="102"/>
      <c r="C32" s="93" t="str">
        <f t="shared" si="6"/>
        <v/>
      </c>
      <c r="D32" s="94">
        <v>5</v>
      </c>
      <c r="F32" s="3">
        <f t="shared" si="7"/>
        <v>0</v>
      </c>
      <c r="I32" s="3"/>
      <c r="J32" s="23"/>
      <c r="K32" s="3"/>
      <c r="L32" s="24"/>
      <c r="M32" s="3"/>
      <c r="N32" s="24"/>
      <c r="O32" s="3"/>
      <c r="P32" s="24"/>
      <c r="Q32" s="3"/>
    </row>
    <row r="33" spans="1:17" ht="18" customHeight="1" x14ac:dyDescent="0.2">
      <c r="A33" s="102"/>
      <c r="B33" s="102"/>
      <c r="C33" s="93" t="str">
        <f t="shared" si="6"/>
        <v/>
      </c>
      <c r="D33" s="94">
        <v>6</v>
      </c>
      <c r="F33" s="3">
        <f t="shared" si="7"/>
        <v>0</v>
      </c>
      <c r="I33" s="3"/>
      <c r="J33" s="23"/>
      <c r="K33" s="3"/>
      <c r="L33" s="24"/>
      <c r="M33" s="3"/>
      <c r="N33" s="24"/>
      <c r="O33" s="3"/>
      <c r="P33" s="24"/>
      <c r="Q33" s="3"/>
    </row>
    <row r="34" spans="1:17" ht="18" customHeight="1" x14ac:dyDescent="0.2">
      <c r="A34" s="102"/>
      <c r="B34" s="102"/>
      <c r="C34" s="93" t="str">
        <f t="shared" si="6"/>
        <v/>
      </c>
      <c r="D34" s="94">
        <v>7</v>
      </c>
      <c r="F34" s="3">
        <f t="shared" si="7"/>
        <v>0</v>
      </c>
      <c r="I34" s="3"/>
      <c r="J34" s="23"/>
      <c r="K34" s="3"/>
      <c r="L34" s="24"/>
      <c r="M34" s="3"/>
      <c r="N34" s="24"/>
      <c r="O34" s="3"/>
      <c r="P34" s="24"/>
      <c r="Q34" s="3"/>
    </row>
    <row r="35" spans="1:17" ht="18" customHeight="1" x14ac:dyDescent="0.2">
      <c r="A35" s="102"/>
      <c r="B35" s="102"/>
      <c r="C35" s="93" t="str">
        <f t="shared" si="6"/>
        <v/>
      </c>
      <c r="D35" s="94">
        <v>8</v>
      </c>
      <c r="F35" s="3">
        <f t="shared" si="7"/>
        <v>0</v>
      </c>
      <c r="I35" s="3"/>
      <c r="J35" s="23"/>
      <c r="K35" s="3"/>
      <c r="L35" s="24"/>
      <c r="M35" s="3"/>
      <c r="N35" s="24"/>
      <c r="O35" s="3"/>
      <c r="P35" s="24"/>
      <c r="Q35" s="3"/>
    </row>
    <row r="36" spans="1:17" ht="18" customHeight="1" x14ac:dyDescent="0.2">
      <c r="A36" s="102"/>
      <c r="B36" s="102"/>
      <c r="C36" s="93" t="str">
        <f t="shared" si="6"/>
        <v/>
      </c>
      <c r="D36" s="94">
        <v>9</v>
      </c>
      <c r="F36" s="3">
        <f>COUNTIF($K$2:$Q$25,D36)</f>
        <v>0</v>
      </c>
      <c r="I36" s="3"/>
      <c r="J36" s="23"/>
      <c r="K36" s="3"/>
      <c r="L36" s="24"/>
      <c r="M36" s="3"/>
      <c r="N36" s="24"/>
      <c r="O36" s="3"/>
      <c r="P36" s="24"/>
      <c r="Q36" s="3"/>
    </row>
  </sheetData>
  <sheetProtection sheet="1" objects="1" scenarios="1" formatCells="0" formatColumns="0" formatRows="0"/>
  <mergeCells count="12">
    <mergeCell ref="A36:B36"/>
    <mergeCell ref="J26:Q26"/>
    <mergeCell ref="A27:B27"/>
    <mergeCell ref="A28:B28"/>
    <mergeCell ref="A29:B29"/>
    <mergeCell ref="A30:B30"/>
    <mergeCell ref="A26:D26"/>
    <mergeCell ref="A31:B31"/>
    <mergeCell ref="A32:B32"/>
    <mergeCell ref="A33:B33"/>
    <mergeCell ref="A34:B34"/>
    <mergeCell ref="A35:B35"/>
  </mergeCells>
  <conditionalFormatting sqref="N2:N25 P2:P25">
    <cfRule type="expression" dxfId="80" priority="62">
      <formula>AND(N2=$D$27,NOT(ISBLANK($D$27)))</formula>
    </cfRule>
    <cfRule type="expression" dxfId="79" priority="63">
      <formula>AND(N2=$D$28,NOT(ISBLANK($D$28)))</formula>
    </cfRule>
    <cfRule type="expression" dxfId="78" priority="64">
      <formula>AND(N2=$D$29,NOT(ISBLANK($D$29)))</formula>
    </cfRule>
    <cfRule type="expression" dxfId="77" priority="65">
      <formula>AND(N2=$D$30,NOT(ISBLANK($D$30)))</formula>
    </cfRule>
    <cfRule type="expression" dxfId="76" priority="66">
      <formula>AND(N2=$D$31,NOT(ISBLANK($D$31)))</formula>
    </cfRule>
    <cfRule type="expression" dxfId="75" priority="67">
      <formula>AND(N2=$D$32,NOT(ISBLANK($D$32)))</formula>
    </cfRule>
    <cfRule type="expression" dxfId="74" priority="68">
      <formula>AND(N2=$D$33,NOT(ISBLANK($D$33)))</formula>
    </cfRule>
    <cfRule type="expression" dxfId="73" priority="69">
      <formula>AND(N2=$D$34,NOT(ISBLANK($D$34)))</formula>
    </cfRule>
    <cfRule type="expression" dxfId="72" priority="70">
      <formula>AND(N2=$D$35,NOT(ISBLANK($D$35)))</formula>
    </cfRule>
    <cfRule type="expression" dxfId="71" priority="71">
      <formula>AND(N2=$D$36,NOT(ISBLANK($D$36)))</formula>
    </cfRule>
  </conditionalFormatting>
  <conditionalFormatting sqref="M2:M25">
    <cfRule type="expression" dxfId="70" priority="32">
      <formula>AND(M2=$D$27,NOT(ISBLANK($D$27)))</formula>
    </cfRule>
    <cfRule type="expression" dxfId="69" priority="33">
      <formula>AND(M2=$D$28,NOT(ISBLANK($D$28)))</formula>
    </cfRule>
    <cfRule type="expression" dxfId="68" priority="34">
      <formula>AND(M2=$D$29,NOT(ISBLANK($D$29)))</formula>
    </cfRule>
    <cfRule type="expression" dxfId="67" priority="35">
      <formula>AND(M2=$D$30,NOT(ISBLANK($D$30)))</formula>
    </cfRule>
    <cfRule type="expression" dxfId="66" priority="36">
      <formula>AND(M2=$D$31,NOT(ISBLANK($D$31)))</formula>
    </cfRule>
    <cfRule type="expression" dxfId="65" priority="37">
      <formula>AND(M2=$D$32,NOT(ISBLANK($D$32)))</formula>
    </cfRule>
    <cfRule type="expression" dxfId="64" priority="38">
      <formula>AND(M2=$D$33,NOT(ISBLANK($D$33)))</formula>
    </cfRule>
    <cfRule type="expression" dxfId="63" priority="39">
      <formula>AND(M2=$D$34,NOT(ISBLANK($D$34)))</formula>
    </cfRule>
    <cfRule type="expression" dxfId="62" priority="40">
      <formula>AND(M2=$D$35,NOT(ISBLANK($D$35)))</formula>
    </cfRule>
    <cfRule type="expression" dxfId="61" priority="41">
      <formula>AND(M2=$D$36,NOT(ISBLANK($D$36)))</formula>
    </cfRule>
  </conditionalFormatting>
  <conditionalFormatting sqref="O2:O25">
    <cfRule type="expression" dxfId="60" priority="22">
      <formula>AND(O2=$D$27,NOT(ISBLANK($D$27)))</formula>
    </cfRule>
    <cfRule type="expression" dxfId="59" priority="23">
      <formula>AND(O2=$D$28,NOT(ISBLANK($D$28)))</formula>
    </cfRule>
    <cfRule type="expression" dxfId="58" priority="24">
      <formula>AND(O2=$D$29,NOT(ISBLANK($D$29)))</formula>
    </cfRule>
    <cfRule type="expression" dxfId="57" priority="25">
      <formula>AND(O2=$D$30,NOT(ISBLANK($D$30)))</formula>
    </cfRule>
    <cfRule type="expression" dxfId="56" priority="26">
      <formula>AND(O2=$D$31,NOT(ISBLANK($D$31)))</formula>
    </cfRule>
    <cfRule type="expression" dxfId="55" priority="27">
      <formula>AND(O2=$D$32,NOT(ISBLANK($D$32)))</formula>
    </cfRule>
    <cfRule type="expression" dxfId="54" priority="28">
      <formula>AND(O2=$D$33,NOT(ISBLANK($D$33)))</formula>
    </cfRule>
    <cfRule type="expression" dxfId="53" priority="29">
      <formula>AND(O2=$D$34,NOT(ISBLANK($D$34)))</formula>
    </cfRule>
    <cfRule type="expression" dxfId="52" priority="30">
      <formula>AND(O2=$D$35,NOT(ISBLANK($D$35)))</formula>
    </cfRule>
    <cfRule type="expression" dxfId="51" priority="31">
      <formula>AND(O2=$D$36,NOT(ISBLANK($D$36)))</formula>
    </cfRule>
  </conditionalFormatting>
  <conditionalFormatting sqref="Q2:Q25">
    <cfRule type="expression" dxfId="50" priority="12">
      <formula>AND(Q2=$D$27,NOT(ISBLANK($D$27)))</formula>
    </cfRule>
    <cfRule type="expression" dxfId="49" priority="13">
      <formula>AND(Q2=$D$28,NOT(ISBLANK($D$28)))</formula>
    </cfRule>
    <cfRule type="expression" dxfId="48" priority="14">
      <formula>AND(Q2=$D$29,NOT(ISBLANK($D$29)))</formula>
    </cfRule>
    <cfRule type="expression" dxfId="47" priority="15">
      <formula>AND(Q2=$D$30,NOT(ISBLANK($D$30)))</formula>
    </cfRule>
    <cfRule type="expression" dxfId="46" priority="16">
      <formula>AND(Q2=$D$31,NOT(ISBLANK($D$31)))</formula>
    </cfRule>
    <cfRule type="expression" dxfId="45" priority="17">
      <formula>AND(Q2=$D$32,NOT(ISBLANK($D$32)))</formula>
    </cfRule>
    <cfRule type="expression" dxfId="44" priority="18">
      <formula>AND(Q2=$D$33,NOT(ISBLANK($D$33)))</formula>
    </cfRule>
    <cfRule type="expression" dxfId="43" priority="19">
      <formula>AND(Q2=$D$34,NOT(ISBLANK($D$34)))</formula>
    </cfRule>
    <cfRule type="expression" dxfId="42" priority="20">
      <formula>AND(Q2=$D$35,NOT(ISBLANK($D$35)))</formula>
    </cfRule>
    <cfRule type="expression" dxfId="41" priority="21">
      <formula>AND(Q2=$D$36,NOT(ISBLANK($D$36)))</formula>
    </cfRule>
  </conditionalFormatting>
  <conditionalFormatting sqref="L2:L25">
    <cfRule type="expression" dxfId="40" priority="52">
      <formula>AND(L2=$D$27,NOT(ISBLANK($D$27)))</formula>
    </cfRule>
    <cfRule type="expression" dxfId="39" priority="53">
      <formula>AND(L2=$D$28,NOT(ISBLANK($D$28)))</formula>
    </cfRule>
    <cfRule type="expression" dxfId="38" priority="54">
      <formula>AND(L2=$D$29,NOT(ISBLANK($D$29)))</formula>
    </cfRule>
    <cfRule type="expression" dxfId="37" priority="55">
      <formula>AND(L2=$D$30,NOT(ISBLANK($D$30)))</formula>
    </cfRule>
    <cfRule type="expression" dxfId="36" priority="56">
      <formula>AND(L2=$D$31,NOT(ISBLANK($D$31)))</formula>
    </cfRule>
    <cfRule type="expression" dxfId="35" priority="57">
      <formula>AND(L2=$D$32,NOT(ISBLANK($D$32)))</formula>
    </cfRule>
    <cfRule type="expression" dxfId="34" priority="58">
      <formula>AND(L2=$D$33,NOT(ISBLANK($D$33)))</formula>
    </cfRule>
    <cfRule type="expression" dxfId="33" priority="59">
      <formula>AND(L2=$D$34,NOT(ISBLANK($D$34)))</formula>
    </cfRule>
    <cfRule type="expression" dxfId="32" priority="60">
      <formula>AND(L2=$D$35,NOT(ISBLANK($D$35)))</formula>
    </cfRule>
    <cfRule type="expression" dxfId="31" priority="61">
      <formula>AND(L2=$D$36,NOT(ISBLANK($D$36)))</formula>
    </cfRule>
  </conditionalFormatting>
  <conditionalFormatting sqref="K2:K25">
    <cfRule type="expression" dxfId="30" priority="42">
      <formula>AND(K2=$D$27,NOT(ISBLANK($D$27)))</formula>
    </cfRule>
    <cfRule type="expression" dxfId="29" priority="43">
      <formula>AND(K2=$D$28,NOT(ISBLANK($D$28)))</formula>
    </cfRule>
    <cfRule type="expression" dxfId="28" priority="44">
      <formula>AND(K2=$D$29,NOT(ISBLANK($D$29)))</formula>
    </cfRule>
    <cfRule type="expression" dxfId="27" priority="45">
      <formula>AND(K2=$D$30,NOT(ISBLANK($D$30)))</formula>
    </cfRule>
    <cfRule type="expression" dxfId="26" priority="46">
      <formula>AND(K2=$D$31,NOT(ISBLANK($D$31)))</formula>
    </cfRule>
    <cfRule type="expression" dxfId="25" priority="47">
      <formula>AND(K2=$D$32,NOT(ISBLANK($D$32)))</formula>
    </cfRule>
    <cfRule type="expression" dxfId="24" priority="48">
      <formula>AND(K2=$D$33,NOT(ISBLANK($D$33)))</formula>
    </cfRule>
    <cfRule type="expression" dxfId="23" priority="49">
      <formula>AND(K2=$D$34,NOT(ISBLANK($D$34)))</formula>
    </cfRule>
    <cfRule type="expression" dxfId="22" priority="50">
      <formula>AND(K2=$D$35,NOT(ISBLANK($D$35)))</formula>
    </cfRule>
    <cfRule type="expression" dxfId="21" priority="51">
      <formula>AND(K2=$D$36,NOT(ISBLANK($D$36)))</formula>
    </cfRule>
  </conditionalFormatting>
  <conditionalFormatting sqref="D27:D36">
    <cfRule type="expression" dxfId="20" priority="2">
      <formula>AND(D27=$D$27,NOT(ISBLANK($D$27)))</formula>
    </cfRule>
    <cfRule type="expression" dxfId="19" priority="3">
      <formula>AND(D27=$D$28,NOT(ISBLANK($D$28)))</formula>
    </cfRule>
    <cfRule type="expression" dxfId="18" priority="4">
      <formula>AND(D27=$D$29,NOT(ISBLANK($D$29)))</formula>
    </cfRule>
    <cfRule type="expression" dxfId="17" priority="5">
      <formula>AND(D27=$D$30,NOT(ISBLANK($D$30)))</formula>
    </cfRule>
    <cfRule type="expression" dxfId="16" priority="6">
      <formula>AND(D27=$D$31,NOT(ISBLANK($D$31)))</formula>
    </cfRule>
    <cfRule type="expression" dxfId="15" priority="7">
      <formula>AND(D27=$D$32,NOT(ISBLANK($D$32)))</formula>
    </cfRule>
    <cfRule type="expression" dxfId="14" priority="8">
      <formula>AND(D27=$D$33,NOT(ISBLANK($D$33)))</formula>
    </cfRule>
    <cfRule type="expression" dxfId="13" priority="9">
      <formula>AND(D27=$D$34,NOT(ISBLANK($D$34)))</formula>
    </cfRule>
    <cfRule type="expression" dxfId="12" priority="10">
      <formula>AND(D27=$D$35,NOT(ISBLANK($D$35)))</formula>
    </cfRule>
    <cfRule type="expression" dxfId="11" priority="11">
      <formula>AND(D27=$D$36,NOT(ISBLANK($D$36)))</formula>
    </cfRule>
  </conditionalFormatting>
  <conditionalFormatting sqref="D27:D36">
    <cfRule type="expression" dxfId="10" priority="1">
      <formula>ISBLANK(D27)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55"/>
  <sheetViews>
    <sheetView topLeftCell="C1" zoomScale="125" zoomScaleNormal="100" workbookViewId="0">
      <selection activeCell="I3" sqref="I3"/>
    </sheetView>
  </sheetViews>
  <sheetFormatPr baseColWidth="10" defaultRowHeight="18" customHeight="1" x14ac:dyDescent="0.2"/>
  <cols>
    <col min="1" max="1" width="3.1640625" bestFit="1" customWidth="1"/>
    <col min="2" max="2" width="12" customWidth="1"/>
    <col min="3" max="3" width="3.1640625" bestFit="1" customWidth="1"/>
    <col min="4" max="4" width="12" customWidth="1"/>
    <col min="5" max="5" width="3.1640625" bestFit="1" customWidth="1"/>
    <col min="6" max="6" width="12" customWidth="1"/>
    <col min="7" max="7" width="3.1640625" bestFit="1" customWidth="1"/>
    <col min="8" max="8" width="12" customWidth="1"/>
    <col min="9" max="9" width="9.83203125" customWidth="1"/>
    <col min="10" max="10" width="5.83203125" bestFit="1" customWidth="1"/>
    <col min="11" max="11" width="7.1640625" style="27" bestFit="1" customWidth="1"/>
    <col min="12" max="12" width="10.33203125" customWidth="1"/>
    <col min="13" max="13" width="7.1640625" bestFit="1" customWidth="1"/>
    <col min="14" max="14" width="10.33203125" customWidth="1"/>
    <col min="15" max="15" width="7.1640625" bestFit="1" customWidth="1"/>
    <col min="16" max="16" width="10.6640625" customWidth="1"/>
    <col min="17" max="17" width="8.5" bestFit="1" customWidth="1"/>
    <col min="18" max="18" width="10.33203125" customWidth="1"/>
  </cols>
  <sheetData>
    <row r="1" spans="1:22" ht="18" customHeight="1" thickBot="1" x14ac:dyDescent="0.25">
      <c r="K1" s="81" t="s">
        <v>101</v>
      </c>
      <c r="L1" s="82">
        <f ca="1">IF(M1="Genotyper", TODAY(), L1)</f>
        <v>43887</v>
      </c>
      <c r="M1" s="104" t="s">
        <v>108</v>
      </c>
      <c r="N1" s="104"/>
      <c r="O1" s="104"/>
      <c r="P1" s="104"/>
      <c r="Q1" s="104"/>
      <c r="R1" s="105"/>
      <c r="U1" s="41"/>
    </row>
    <row r="2" spans="1:22" s="17" customFormat="1" ht="36" thickBot="1" x14ac:dyDescent="0.3">
      <c r="A2" s="15" t="s">
        <v>0</v>
      </c>
      <c r="B2" s="45" t="str">
        <f>_xlfn.TEXTJOIN(";",TRUE,IF(COUNT(gene1!$J$2:$Q$25)&gt;0,gene1!B1,""),IF(COUNT(gene2!$J$2:$Q$25)&gt;0,gene2!B1,""),IF(COUNT(gene3!$J$2:$Q$25)&gt;0,gene3!B1,""),IF(COUNT(gene4!$J$2:$Q$25)&gt;0,gene4!B1,""))</f>
        <v/>
      </c>
      <c r="C2" s="15" t="s">
        <v>0</v>
      </c>
      <c r="D2" s="45" t="str">
        <f>B2</f>
        <v/>
      </c>
      <c r="E2" s="15" t="s">
        <v>0</v>
      </c>
      <c r="F2" s="45" t="str">
        <f>D2</f>
        <v/>
      </c>
      <c r="G2" s="15" t="s">
        <v>0</v>
      </c>
      <c r="H2" s="45" t="str">
        <f>F2</f>
        <v/>
      </c>
      <c r="I2" s="99" t="s">
        <v>115</v>
      </c>
      <c r="J2" s="16" t="s">
        <v>1</v>
      </c>
      <c r="K2" s="78" t="s">
        <v>0</v>
      </c>
      <c r="L2" s="79" t="str">
        <f>B2</f>
        <v/>
      </c>
      <c r="M2" s="80" t="s">
        <v>0</v>
      </c>
      <c r="N2" s="79" t="str">
        <f>B2</f>
        <v/>
      </c>
      <c r="O2" s="80" t="s">
        <v>0</v>
      </c>
      <c r="P2" s="79" t="str">
        <f>B2</f>
        <v/>
      </c>
      <c r="Q2" s="80" t="s">
        <v>0</v>
      </c>
      <c r="R2" s="79" t="str">
        <f>B2</f>
        <v/>
      </c>
    </row>
    <row r="3" spans="1:22" ht="18" customHeight="1" x14ac:dyDescent="0.2">
      <c r="A3" s="2">
        <v>1</v>
      </c>
      <c r="B3" s="4" t="str">
        <f>CONCATENATE(gene1!K2,gene2!K2,gene3!K2,gene4!K2)</f>
        <v/>
      </c>
      <c r="C3" s="2">
        <v>25</v>
      </c>
      <c r="D3" s="4" t="str">
        <f>CONCATENATE(gene1!M2,gene2!M2,gene3!M2,gene4!M2)</f>
        <v/>
      </c>
      <c r="E3" s="2">
        <v>49</v>
      </c>
      <c r="F3" s="4" t="str">
        <f>CONCATENATE(gene1!O2,gene2!O2,gene3!O2,gene4!O2)</f>
        <v/>
      </c>
      <c r="G3" s="2">
        <v>73</v>
      </c>
      <c r="H3" s="40" t="str">
        <f>CONCATENATE(gene1!Q2,gene2!Q2,gene3!Q2,gene4!Q2)</f>
        <v/>
      </c>
      <c r="I3" s="58" t="s">
        <v>109</v>
      </c>
      <c r="J3" s="83">
        <f>IF(I3="","",COUNTIFS($K$3:$R$26,I3,$K$3:$R$26,REPT("?",LEN(I3))))</f>
        <v>0</v>
      </c>
      <c r="K3" s="52" t="s">
        <v>5</v>
      </c>
      <c r="L3" s="46" t="str">
        <f>B3</f>
        <v/>
      </c>
      <c r="M3" s="53" t="s">
        <v>6</v>
      </c>
      <c r="N3" s="46" t="str">
        <f>D3</f>
        <v/>
      </c>
      <c r="O3" s="53" t="s">
        <v>7</v>
      </c>
      <c r="P3" s="46" t="str">
        <f>F3</f>
        <v/>
      </c>
      <c r="Q3" s="53" t="s">
        <v>8</v>
      </c>
      <c r="R3" s="46" t="str">
        <f>H3</f>
        <v/>
      </c>
      <c r="T3" s="30"/>
      <c r="U3" s="30"/>
      <c r="V3" s="30"/>
    </row>
    <row r="4" spans="1:22" ht="18" customHeight="1" x14ac:dyDescent="0.2">
      <c r="A4" s="5">
        <v>2</v>
      </c>
      <c r="B4" s="6" t="str">
        <f>CONCATENATE(gene1!K3,gene2!K3,gene3!K3,gene4!K3)</f>
        <v/>
      </c>
      <c r="C4" s="5">
        <v>26</v>
      </c>
      <c r="D4" s="6" t="str">
        <f>CONCATENATE(gene1!M3,gene2!M3,gene3!M3,gene4!M3)</f>
        <v/>
      </c>
      <c r="E4" s="5">
        <v>50</v>
      </c>
      <c r="F4" s="6" t="str">
        <f>CONCATENATE(gene1!O3,gene2!O3,gene3!O3,gene4!O3)</f>
        <v/>
      </c>
      <c r="G4" s="5">
        <v>74</v>
      </c>
      <c r="H4" s="13" t="str">
        <f>CONCATENATE(gene1!Q3,gene2!Q3,gene3!Q3,gene4!Q3)</f>
        <v/>
      </c>
      <c r="I4" s="59" t="s">
        <v>110</v>
      </c>
      <c r="J4" s="84">
        <f t="shared" ref="J4:J11" si="0">IF(I4="","",COUNTIFS($K$3:$R$26,I4,$K$3:$R$26,REPT("?",LEN(I4))))</f>
        <v>0</v>
      </c>
      <c r="K4" s="54" t="s">
        <v>9</v>
      </c>
      <c r="L4" s="47" t="str">
        <f t="shared" ref="L4:R18" si="1">B4</f>
        <v/>
      </c>
      <c r="M4" s="55" t="s">
        <v>10</v>
      </c>
      <c r="N4" s="47" t="str">
        <f t="shared" si="1"/>
        <v/>
      </c>
      <c r="O4" s="55" t="s">
        <v>11</v>
      </c>
      <c r="P4" s="47" t="str">
        <f t="shared" si="1"/>
        <v/>
      </c>
      <c r="Q4" s="55" t="s">
        <v>12</v>
      </c>
      <c r="R4" s="47" t="str">
        <f t="shared" si="1"/>
        <v/>
      </c>
      <c r="T4" s="30"/>
      <c r="U4" s="30"/>
      <c r="V4" s="30"/>
    </row>
    <row r="5" spans="1:22" ht="18" customHeight="1" x14ac:dyDescent="0.2">
      <c r="A5" s="5">
        <v>3</v>
      </c>
      <c r="B5" s="6" t="str">
        <f>CONCATENATE(gene1!K4,gene2!K4,gene3!K4,gene4!K4)</f>
        <v/>
      </c>
      <c r="C5" s="5">
        <v>27</v>
      </c>
      <c r="D5" s="6" t="str">
        <f>CONCATENATE(gene1!M4,gene2!M4,gene3!M4,gene4!M4)</f>
        <v/>
      </c>
      <c r="E5" s="5">
        <v>51</v>
      </c>
      <c r="F5" s="6" t="str">
        <f>CONCATENATE(gene1!O4,gene2!O4,gene3!O4,gene4!O4)</f>
        <v/>
      </c>
      <c r="G5" s="5">
        <v>75</v>
      </c>
      <c r="H5" s="13" t="str">
        <f>CONCATENATE(gene1!Q4,gene2!Q4,gene3!Q4,gene4!Q4)</f>
        <v/>
      </c>
      <c r="I5" s="59" t="s">
        <v>111</v>
      </c>
      <c r="J5" s="84">
        <f t="shared" si="0"/>
        <v>0</v>
      </c>
      <c r="K5" s="54" t="s">
        <v>13</v>
      </c>
      <c r="L5" s="47" t="str">
        <f t="shared" si="1"/>
        <v/>
      </c>
      <c r="M5" s="55" t="s">
        <v>14</v>
      </c>
      <c r="N5" s="47" t="str">
        <f t="shared" si="1"/>
        <v/>
      </c>
      <c r="O5" s="55" t="s">
        <v>15</v>
      </c>
      <c r="P5" s="47" t="str">
        <f t="shared" si="1"/>
        <v/>
      </c>
      <c r="Q5" s="55" t="s">
        <v>16</v>
      </c>
      <c r="R5" s="47" t="str">
        <f t="shared" si="1"/>
        <v/>
      </c>
      <c r="T5" s="30"/>
      <c r="U5" s="30"/>
      <c r="V5" s="30"/>
    </row>
    <row r="6" spans="1:22" ht="18" customHeight="1" x14ac:dyDescent="0.2">
      <c r="A6" s="5">
        <v>4</v>
      </c>
      <c r="B6" s="6" t="str">
        <f>CONCATENATE(gene1!K5,gene2!K5,gene3!K5,gene4!K5)</f>
        <v/>
      </c>
      <c r="C6" s="5">
        <v>28</v>
      </c>
      <c r="D6" s="6" t="str">
        <f>CONCATENATE(gene1!M5,gene2!M5,gene3!M5,gene4!M5)</f>
        <v/>
      </c>
      <c r="E6" s="5">
        <v>52</v>
      </c>
      <c r="F6" s="6" t="str">
        <f>CONCATENATE(gene1!O5,gene2!O5,gene3!O5,gene4!O5)</f>
        <v/>
      </c>
      <c r="G6" s="5">
        <v>76</v>
      </c>
      <c r="H6" s="13" t="str">
        <f>CONCATENATE(gene1!Q5,gene2!Q5,gene3!Q5,gene4!Q5)</f>
        <v/>
      </c>
      <c r="I6" s="59"/>
      <c r="J6" s="84" t="str">
        <f t="shared" si="0"/>
        <v/>
      </c>
      <c r="K6" s="54" t="s">
        <v>17</v>
      </c>
      <c r="L6" s="47" t="str">
        <f t="shared" si="1"/>
        <v/>
      </c>
      <c r="M6" s="55" t="s">
        <v>18</v>
      </c>
      <c r="N6" s="47" t="str">
        <f t="shared" si="1"/>
        <v/>
      </c>
      <c r="O6" s="55" t="s">
        <v>19</v>
      </c>
      <c r="P6" s="47" t="str">
        <f t="shared" si="1"/>
        <v/>
      </c>
      <c r="Q6" s="55" t="s">
        <v>20</v>
      </c>
      <c r="R6" s="47" t="str">
        <f t="shared" si="1"/>
        <v/>
      </c>
      <c r="U6" s="30"/>
    </row>
    <row r="7" spans="1:22" ht="18" customHeight="1" x14ac:dyDescent="0.2">
      <c r="A7" s="5">
        <v>5</v>
      </c>
      <c r="B7" s="6" t="str">
        <f>CONCATENATE(gene1!K6,gene2!K6,gene3!K6,gene4!K6)</f>
        <v/>
      </c>
      <c r="C7" s="5">
        <v>29</v>
      </c>
      <c r="D7" s="6" t="str">
        <f>CONCATENATE(gene1!M6,gene2!M6,gene3!M6,gene4!M6)</f>
        <v/>
      </c>
      <c r="E7" s="5">
        <v>53</v>
      </c>
      <c r="F7" s="6" t="str">
        <f>CONCATENATE(gene1!O6,gene2!O6,gene3!O6,gene4!O6)</f>
        <v/>
      </c>
      <c r="G7" s="5">
        <v>77</v>
      </c>
      <c r="H7" s="13" t="str">
        <f>CONCATENATE(gene1!Q6,gene2!Q6,gene3!Q6,gene4!Q6)</f>
        <v/>
      </c>
      <c r="I7" s="59"/>
      <c r="J7" s="84" t="str">
        <f t="shared" si="0"/>
        <v/>
      </c>
      <c r="K7" s="54" t="s">
        <v>89</v>
      </c>
      <c r="L7" s="47" t="str">
        <f t="shared" si="1"/>
        <v/>
      </c>
      <c r="M7" s="55" t="s">
        <v>95</v>
      </c>
      <c r="N7" s="47" t="str">
        <f t="shared" si="1"/>
        <v/>
      </c>
      <c r="O7" s="55" t="s">
        <v>96</v>
      </c>
      <c r="P7" s="47" t="str">
        <f>F7</f>
        <v/>
      </c>
      <c r="Q7" s="55" t="s">
        <v>97</v>
      </c>
      <c r="R7" s="47" t="str">
        <f t="shared" si="1"/>
        <v/>
      </c>
      <c r="U7" s="30"/>
    </row>
    <row r="8" spans="1:22" ht="18" customHeight="1" x14ac:dyDescent="0.2">
      <c r="A8" s="5">
        <v>6</v>
      </c>
      <c r="B8" s="6" t="str">
        <f>CONCATENATE(gene1!K7,gene2!K7,gene3!K7,gene4!K7)</f>
        <v/>
      </c>
      <c r="C8" s="5">
        <v>30</v>
      </c>
      <c r="D8" s="6" t="str">
        <f>CONCATENATE(gene1!M7,gene2!M7,gene3!M7,gene4!M7)</f>
        <v/>
      </c>
      <c r="E8" s="5">
        <v>54</v>
      </c>
      <c r="F8" s="6" t="str">
        <f>CONCATENATE(gene1!O7,gene2!O7,gene3!O7,gene4!O7)</f>
        <v/>
      </c>
      <c r="G8" s="5">
        <v>78</v>
      </c>
      <c r="H8" s="13" t="str">
        <f>CONCATENATE(gene1!Q7,gene2!Q7,gene3!Q7,gene4!Q7)</f>
        <v/>
      </c>
      <c r="I8" s="59"/>
      <c r="J8" s="84" t="str">
        <f t="shared" si="0"/>
        <v/>
      </c>
      <c r="K8" s="54" t="s">
        <v>21</v>
      </c>
      <c r="L8" s="47" t="str">
        <f t="shared" si="1"/>
        <v/>
      </c>
      <c r="M8" s="55" t="s">
        <v>22</v>
      </c>
      <c r="N8" s="47" t="str">
        <f t="shared" si="1"/>
        <v/>
      </c>
      <c r="O8" s="55" t="s">
        <v>23</v>
      </c>
      <c r="P8" s="47" t="str">
        <f t="shared" si="1"/>
        <v/>
      </c>
      <c r="Q8" s="55" t="s">
        <v>24</v>
      </c>
      <c r="R8" s="47" t="str">
        <f t="shared" si="1"/>
        <v/>
      </c>
      <c r="U8" s="30"/>
    </row>
    <row r="9" spans="1:22" ht="18" customHeight="1" x14ac:dyDescent="0.2">
      <c r="A9" s="5">
        <v>7</v>
      </c>
      <c r="B9" s="6" t="str">
        <f>CONCATENATE(gene1!K8,gene2!K8,gene3!K8,gene4!K8)</f>
        <v/>
      </c>
      <c r="C9" s="5">
        <v>31</v>
      </c>
      <c r="D9" s="6" t="str">
        <f>CONCATENATE(gene1!M8,gene2!M8,gene3!M8,gene4!M8)</f>
        <v/>
      </c>
      <c r="E9" s="5">
        <v>55</v>
      </c>
      <c r="F9" s="6" t="str">
        <f>CONCATENATE(gene1!O8,gene2!O8,gene3!O8,gene4!O8)</f>
        <v/>
      </c>
      <c r="G9" s="5">
        <v>79</v>
      </c>
      <c r="H9" s="13" t="str">
        <f>CONCATENATE(gene1!Q8,gene2!Q8,gene3!Q8,gene4!Q8)</f>
        <v/>
      </c>
      <c r="I9" s="60"/>
      <c r="J9" s="84" t="str">
        <f t="shared" si="0"/>
        <v/>
      </c>
      <c r="K9" s="54" t="s">
        <v>25</v>
      </c>
      <c r="L9" s="47" t="str">
        <f t="shared" si="1"/>
        <v/>
      </c>
      <c r="M9" s="55" t="s">
        <v>26</v>
      </c>
      <c r="N9" s="47" t="str">
        <f t="shared" si="1"/>
        <v/>
      </c>
      <c r="O9" s="55" t="s">
        <v>27</v>
      </c>
      <c r="P9" s="47" t="str">
        <f t="shared" si="1"/>
        <v/>
      </c>
      <c r="Q9" s="55" t="s">
        <v>28</v>
      </c>
      <c r="R9" s="47" t="str">
        <f t="shared" si="1"/>
        <v/>
      </c>
      <c r="U9" s="30"/>
    </row>
    <row r="10" spans="1:22" ht="18" customHeight="1" thickBot="1" x14ac:dyDescent="0.25">
      <c r="A10" s="7">
        <v>8</v>
      </c>
      <c r="B10" s="8" t="str">
        <f>CONCATENATE(gene1!K9,gene2!K9,gene3!K9,gene4!K9)</f>
        <v/>
      </c>
      <c r="C10" s="7">
        <v>32</v>
      </c>
      <c r="D10" s="8" t="str">
        <f>CONCATENATE(gene1!M9,gene2!M9,gene3!M9,gene4!M9)</f>
        <v/>
      </c>
      <c r="E10" s="7">
        <v>56</v>
      </c>
      <c r="F10" s="8" t="str">
        <f>CONCATENATE(gene1!O9,gene2!O9,gene3!O9,gene4!O9)</f>
        <v/>
      </c>
      <c r="G10" s="7">
        <v>80</v>
      </c>
      <c r="H10" s="14" t="str">
        <f>CONCATENATE(gene1!Q9,gene2!Q9,gene3!Q9,gene4!Q9)</f>
        <v/>
      </c>
      <c r="I10" s="60"/>
      <c r="J10" s="84" t="str">
        <f t="shared" si="0"/>
        <v/>
      </c>
      <c r="K10" s="56" t="s">
        <v>29</v>
      </c>
      <c r="L10" s="48" t="str">
        <f t="shared" si="1"/>
        <v/>
      </c>
      <c r="M10" s="57" t="s">
        <v>30</v>
      </c>
      <c r="N10" s="48" t="str">
        <f t="shared" si="1"/>
        <v/>
      </c>
      <c r="O10" s="57" t="s">
        <v>31</v>
      </c>
      <c r="P10" s="48" t="str">
        <f t="shared" si="1"/>
        <v/>
      </c>
      <c r="Q10" s="57" t="s">
        <v>32</v>
      </c>
      <c r="R10" s="48" t="str">
        <f t="shared" si="1"/>
        <v/>
      </c>
      <c r="U10" s="30"/>
    </row>
    <row r="11" spans="1:22" ht="18" customHeight="1" thickBot="1" x14ac:dyDescent="0.25">
      <c r="A11" s="5">
        <v>9</v>
      </c>
      <c r="B11" s="4" t="str">
        <f>CONCATENATE(gene1!K10,gene2!K10,gene3!K10,gene4!K10)</f>
        <v/>
      </c>
      <c r="C11" s="5">
        <v>33</v>
      </c>
      <c r="D11" s="4" t="str">
        <f>CONCATENATE(gene1!M10,gene2!M10,gene3!M10,gene4!M10)</f>
        <v/>
      </c>
      <c r="E11" s="5">
        <v>57</v>
      </c>
      <c r="F11" s="4" t="str">
        <f>CONCATENATE(gene1!O10,gene2!O10,gene3!O10,gene4!O10)</f>
        <v/>
      </c>
      <c r="G11" s="5">
        <v>81</v>
      </c>
      <c r="H11" s="40" t="str">
        <f>CONCATENATE(gene1!Q10,gene2!Q10,gene3!Q10,gene4!Q10)</f>
        <v/>
      </c>
      <c r="I11" s="61"/>
      <c r="J11" s="85" t="str">
        <f t="shared" si="0"/>
        <v/>
      </c>
      <c r="K11" s="52" t="s">
        <v>33</v>
      </c>
      <c r="L11" s="49" t="str">
        <f>B11</f>
        <v/>
      </c>
      <c r="M11" s="53" t="s">
        <v>34</v>
      </c>
      <c r="N11" s="49" t="str">
        <f t="shared" si="1"/>
        <v/>
      </c>
      <c r="O11" s="53" t="s">
        <v>35</v>
      </c>
      <c r="P11" s="49" t="str">
        <f t="shared" si="1"/>
        <v/>
      </c>
      <c r="Q11" s="53" t="s">
        <v>36</v>
      </c>
      <c r="R11" s="49" t="str">
        <f t="shared" si="1"/>
        <v/>
      </c>
      <c r="U11" s="30"/>
    </row>
    <row r="12" spans="1:22" ht="18" customHeight="1" x14ac:dyDescent="0.2">
      <c r="A12" s="5">
        <v>10</v>
      </c>
      <c r="B12" s="6" t="str">
        <f>CONCATENATE(gene1!K11,gene2!K11,gene3!K11,gene4!K11)</f>
        <v/>
      </c>
      <c r="C12" s="5">
        <v>34</v>
      </c>
      <c r="D12" s="6" t="str">
        <f>CONCATENATE(gene1!M11,gene2!M11,gene3!M11,gene4!M11)</f>
        <v/>
      </c>
      <c r="E12" s="5">
        <v>58</v>
      </c>
      <c r="F12" s="6" t="str">
        <f>CONCATENATE(gene1!O11,gene2!O11,gene3!O11,gene4!O11)</f>
        <v/>
      </c>
      <c r="G12" s="5">
        <v>82</v>
      </c>
      <c r="H12" s="6" t="str">
        <f>CONCATENATE(gene1!Q11,gene2!Q11,gene3!Q11,gene4!Q11)</f>
        <v/>
      </c>
      <c r="I12" s="9"/>
      <c r="J12" s="19"/>
      <c r="K12" s="55" t="s">
        <v>37</v>
      </c>
      <c r="L12" s="50" t="str">
        <f t="shared" si="1"/>
        <v/>
      </c>
      <c r="M12" s="55" t="s">
        <v>38</v>
      </c>
      <c r="N12" s="50" t="str">
        <f t="shared" ref="N12:N19" si="2">D12</f>
        <v/>
      </c>
      <c r="O12" s="55" t="s">
        <v>39</v>
      </c>
      <c r="P12" s="50" t="str">
        <f t="shared" ref="P12:P19" si="3">F12</f>
        <v/>
      </c>
      <c r="Q12" s="55" t="s">
        <v>40</v>
      </c>
      <c r="R12" s="50" t="str">
        <f t="shared" ref="R12:R19" si="4">H12</f>
        <v/>
      </c>
    </row>
    <row r="13" spans="1:22" ht="18" customHeight="1" x14ac:dyDescent="0.2">
      <c r="A13" s="5">
        <v>11</v>
      </c>
      <c r="B13" s="6" t="str">
        <f>CONCATENATE(gene1!K12,gene2!K12,gene3!K12,gene4!K12)</f>
        <v/>
      </c>
      <c r="C13" s="5">
        <v>35</v>
      </c>
      <c r="D13" s="6" t="str">
        <f>CONCATENATE(gene1!M12,gene2!M12,gene3!M12,gene4!M12)</f>
        <v/>
      </c>
      <c r="E13" s="5">
        <v>59</v>
      </c>
      <c r="F13" s="6" t="str">
        <f>CONCATENATE(gene1!O12,gene2!O12,gene3!O12,gene4!O12)</f>
        <v/>
      </c>
      <c r="G13" s="5">
        <v>83</v>
      </c>
      <c r="H13" s="6" t="str">
        <f>CONCATENATE(gene1!Q12,gene2!Q12,gene3!Q12,gene4!Q12)</f>
        <v/>
      </c>
      <c r="I13" s="9"/>
      <c r="J13" s="19"/>
      <c r="K13" s="55" t="s">
        <v>41</v>
      </c>
      <c r="L13" s="50" t="str">
        <f t="shared" si="1"/>
        <v/>
      </c>
      <c r="M13" s="55" t="s">
        <v>42</v>
      </c>
      <c r="N13" s="50" t="str">
        <f t="shared" si="2"/>
        <v/>
      </c>
      <c r="O13" s="55" t="s">
        <v>43</v>
      </c>
      <c r="P13" s="50" t="str">
        <f t="shared" si="3"/>
        <v/>
      </c>
      <c r="Q13" s="55" t="s">
        <v>44</v>
      </c>
      <c r="R13" s="50" t="str">
        <f t="shared" si="4"/>
        <v/>
      </c>
    </row>
    <row r="14" spans="1:22" ht="18" customHeight="1" x14ac:dyDescent="0.2">
      <c r="A14" s="5">
        <v>12</v>
      </c>
      <c r="B14" s="6" t="str">
        <f>CONCATENATE(gene1!K13,gene2!K13,gene3!K13,gene4!K13)</f>
        <v/>
      </c>
      <c r="C14" s="5">
        <v>36</v>
      </c>
      <c r="D14" s="6" t="str">
        <f>CONCATENATE(gene1!M13,gene2!M13,gene3!M13,gene4!M13)</f>
        <v/>
      </c>
      <c r="E14" s="5">
        <v>60</v>
      </c>
      <c r="F14" s="6" t="str">
        <f>CONCATENATE(gene1!O13,gene2!O13,gene3!O13,gene4!O13)</f>
        <v/>
      </c>
      <c r="G14" s="5">
        <v>84</v>
      </c>
      <c r="H14" s="6" t="str">
        <f>CONCATENATE(gene1!Q13,gene2!Q13,gene3!Q13,gene4!Q13)</f>
        <v/>
      </c>
      <c r="I14" s="9"/>
      <c r="J14" s="19"/>
      <c r="K14" s="55" t="s">
        <v>45</v>
      </c>
      <c r="L14" s="50" t="str">
        <f t="shared" si="1"/>
        <v/>
      </c>
      <c r="M14" s="55" t="s">
        <v>46</v>
      </c>
      <c r="N14" s="50" t="str">
        <f t="shared" si="2"/>
        <v/>
      </c>
      <c r="O14" s="55" t="s">
        <v>47</v>
      </c>
      <c r="P14" s="50" t="str">
        <f t="shared" si="3"/>
        <v/>
      </c>
      <c r="Q14" s="55" t="s">
        <v>48</v>
      </c>
      <c r="R14" s="50" t="str">
        <f t="shared" si="4"/>
        <v/>
      </c>
    </row>
    <row r="15" spans="1:22" ht="18" customHeight="1" x14ac:dyDescent="0.2">
      <c r="A15" s="5">
        <v>13</v>
      </c>
      <c r="B15" s="6" t="str">
        <f>CONCATENATE(gene1!K14,gene2!K14,gene3!K14,gene4!K14)</f>
        <v/>
      </c>
      <c r="C15" s="5">
        <v>37</v>
      </c>
      <c r="D15" s="6" t="str">
        <f>CONCATENATE(gene1!M14,gene2!M14,gene3!M14,gene4!M14)</f>
        <v/>
      </c>
      <c r="E15" s="5">
        <v>61</v>
      </c>
      <c r="F15" s="6" t="str">
        <f>CONCATENATE(gene1!O14,gene2!O14,gene3!O14,gene4!O14)</f>
        <v/>
      </c>
      <c r="G15" s="5">
        <v>85</v>
      </c>
      <c r="H15" s="6" t="str">
        <f>CONCATENATE(gene1!Q14,gene2!Q14,gene3!Q14,gene4!Q14)</f>
        <v/>
      </c>
      <c r="I15" s="9"/>
      <c r="J15" s="19"/>
      <c r="K15" s="55" t="s">
        <v>90</v>
      </c>
      <c r="L15" s="50" t="str">
        <f t="shared" si="1"/>
        <v/>
      </c>
      <c r="M15" s="55" t="s">
        <v>98</v>
      </c>
      <c r="N15" s="50" t="str">
        <f t="shared" si="2"/>
        <v/>
      </c>
      <c r="O15" s="55" t="s">
        <v>99</v>
      </c>
      <c r="P15" s="50" t="str">
        <f t="shared" si="3"/>
        <v/>
      </c>
      <c r="Q15" s="55" t="s">
        <v>100</v>
      </c>
      <c r="R15" s="50" t="str">
        <f t="shared" si="4"/>
        <v/>
      </c>
    </row>
    <row r="16" spans="1:22" ht="18" customHeight="1" x14ac:dyDescent="0.2">
      <c r="A16" s="5">
        <v>14</v>
      </c>
      <c r="B16" s="6" t="str">
        <f>CONCATENATE(gene1!K15,gene2!K15,gene3!K15,gene4!K15)</f>
        <v/>
      </c>
      <c r="C16" s="5">
        <v>38</v>
      </c>
      <c r="D16" s="6" t="str">
        <f>CONCATENATE(gene1!M15,gene2!M15,gene3!M15,gene4!M15)</f>
        <v/>
      </c>
      <c r="E16" s="5">
        <v>62</v>
      </c>
      <c r="F16" s="6" t="str">
        <f>CONCATENATE(gene1!O15,gene2!O15,gene3!O15,gene4!O15)</f>
        <v/>
      </c>
      <c r="G16" s="5">
        <v>86</v>
      </c>
      <c r="H16" s="6" t="str">
        <f>CONCATENATE(gene1!Q15,gene2!Q15,gene3!Q15,gene4!Q15)</f>
        <v/>
      </c>
      <c r="I16" s="9"/>
      <c r="J16" s="19"/>
      <c r="K16" s="55" t="s">
        <v>49</v>
      </c>
      <c r="L16" s="50" t="str">
        <f t="shared" si="1"/>
        <v/>
      </c>
      <c r="M16" s="55" t="s">
        <v>50</v>
      </c>
      <c r="N16" s="50" t="str">
        <f t="shared" si="2"/>
        <v/>
      </c>
      <c r="O16" s="55" t="s">
        <v>51</v>
      </c>
      <c r="P16" s="50" t="str">
        <f t="shared" si="3"/>
        <v/>
      </c>
      <c r="Q16" s="55" t="s">
        <v>52</v>
      </c>
      <c r="R16" s="50" t="str">
        <f t="shared" si="4"/>
        <v/>
      </c>
    </row>
    <row r="17" spans="1:18" ht="18" customHeight="1" x14ac:dyDescent="0.2">
      <c r="A17" s="5">
        <v>15</v>
      </c>
      <c r="B17" s="6" t="str">
        <f>CONCATENATE(gene1!K16,gene2!K16,gene3!K16,gene4!K16)</f>
        <v/>
      </c>
      <c r="C17" s="5">
        <v>39</v>
      </c>
      <c r="D17" s="6" t="str">
        <f>CONCATENATE(gene1!M16,gene2!M16,gene3!M16,gene4!M16)</f>
        <v/>
      </c>
      <c r="E17" s="5">
        <v>63</v>
      </c>
      <c r="F17" s="6" t="str">
        <f>CONCATENATE(gene1!O16,gene2!O16,gene3!O16,gene4!O16)</f>
        <v/>
      </c>
      <c r="G17" s="5">
        <v>87</v>
      </c>
      <c r="H17" s="6" t="str">
        <f>CONCATENATE(gene1!Q16,gene2!Q16,gene3!Q16,gene4!Q16)</f>
        <v/>
      </c>
      <c r="I17" s="9"/>
      <c r="J17" s="19"/>
      <c r="K17" s="55" t="s">
        <v>53</v>
      </c>
      <c r="L17" s="50" t="str">
        <f t="shared" si="1"/>
        <v/>
      </c>
      <c r="M17" s="55" t="s">
        <v>54</v>
      </c>
      <c r="N17" s="50" t="str">
        <f t="shared" si="2"/>
        <v/>
      </c>
      <c r="O17" s="55" t="s">
        <v>55</v>
      </c>
      <c r="P17" s="50" t="str">
        <f t="shared" si="3"/>
        <v/>
      </c>
      <c r="Q17" s="55" t="s">
        <v>56</v>
      </c>
      <c r="R17" s="50" t="str">
        <f t="shared" si="4"/>
        <v/>
      </c>
    </row>
    <row r="18" spans="1:18" ht="18" customHeight="1" thickBot="1" x14ac:dyDescent="0.25">
      <c r="A18" s="7">
        <v>16</v>
      </c>
      <c r="B18" s="8" t="str">
        <f>CONCATENATE(gene1!K17,gene2!K17,gene3!K17,gene4!K17)</f>
        <v/>
      </c>
      <c r="C18" s="7">
        <v>40</v>
      </c>
      <c r="D18" s="8" t="str">
        <f>CONCATENATE(gene1!M17,gene2!M17,gene3!M17,gene4!M17)</f>
        <v/>
      </c>
      <c r="E18" s="7">
        <v>64</v>
      </c>
      <c r="F18" s="8" t="str">
        <f>CONCATENATE(gene1!O17,gene2!O17,gene3!O17,gene4!O17)</f>
        <v/>
      </c>
      <c r="G18" s="7">
        <v>88</v>
      </c>
      <c r="H18" s="8" t="str">
        <f>CONCATENATE(gene1!Q17,gene2!Q17,gene3!Q17,gene4!Q17)</f>
        <v/>
      </c>
      <c r="I18" s="9"/>
      <c r="J18" s="19"/>
      <c r="K18" s="57" t="s">
        <v>57</v>
      </c>
      <c r="L18" s="51" t="str">
        <f t="shared" si="1"/>
        <v/>
      </c>
      <c r="M18" s="57" t="s">
        <v>58</v>
      </c>
      <c r="N18" s="51" t="str">
        <f t="shared" si="2"/>
        <v/>
      </c>
      <c r="O18" s="57" t="s">
        <v>59</v>
      </c>
      <c r="P18" s="51" t="str">
        <f t="shared" si="3"/>
        <v/>
      </c>
      <c r="Q18" s="57" t="s">
        <v>60</v>
      </c>
      <c r="R18" s="51" t="str">
        <f t="shared" si="4"/>
        <v/>
      </c>
    </row>
    <row r="19" spans="1:18" ht="18" customHeight="1" x14ac:dyDescent="0.2">
      <c r="A19" s="5">
        <v>17</v>
      </c>
      <c r="B19" s="4" t="str">
        <f>CONCATENATE(gene1!K18,gene2!K18,gene3!K18,gene4!K18)</f>
        <v/>
      </c>
      <c r="C19" s="5">
        <v>41</v>
      </c>
      <c r="D19" s="4" t="str">
        <f>CONCATENATE(gene1!M18,gene2!M18,gene3!M18,gene4!M18)</f>
        <v/>
      </c>
      <c r="E19" s="5">
        <v>65</v>
      </c>
      <c r="F19" s="4" t="str">
        <f>CONCATENATE(gene1!O18,gene2!O18,gene3!O18,gene4!O18)</f>
        <v/>
      </c>
      <c r="G19" s="5">
        <v>89</v>
      </c>
      <c r="H19" s="4" t="str">
        <f>CONCATENATE(gene1!Q18,gene2!Q18,gene3!Q18,gene4!Q18)</f>
        <v/>
      </c>
      <c r="I19" s="9"/>
      <c r="J19" s="19"/>
      <c r="K19" s="53" t="s">
        <v>61</v>
      </c>
      <c r="L19" s="49" t="str">
        <f>B19</f>
        <v/>
      </c>
      <c r="M19" s="53" t="s">
        <v>62</v>
      </c>
      <c r="N19" s="49" t="str">
        <f t="shared" si="2"/>
        <v/>
      </c>
      <c r="O19" s="53" t="s">
        <v>63</v>
      </c>
      <c r="P19" s="49" t="str">
        <f t="shared" si="3"/>
        <v/>
      </c>
      <c r="Q19" s="53" t="s">
        <v>64</v>
      </c>
      <c r="R19" s="49" t="str">
        <f t="shared" si="4"/>
        <v/>
      </c>
    </row>
    <row r="20" spans="1:18" ht="18" customHeight="1" x14ac:dyDescent="0.2">
      <c r="A20" s="5">
        <v>18</v>
      </c>
      <c r="B20" s="6" t="str">
        <f>CONCATENATE(gene1!K19,gene2!K19,gene3!K19,gene4!K19)</f>
        <v/>
      </c>
      <c r="C20" s="5">
        <v>42</v>
      </c>
      <c r="D20" s="6" t="str">
        <f>CONCATENATE(gene1!M19,gene2!M19,gene3!M19,gene4!M19)</f>
        <v/>
      </c>
      <c r="E20" s="5">
        <v>66</v>
      </c>
      <c r="F20" s="6" t="str">
        <f>CONCATENATE(gene1!O19,gene2!O19,gene3!O19,gene4!O19)</f>
        <v/>
      </c>
      <c r="G20" s="5">
        <v>90</v>
      </c>
      <c r="H20" s="6" t="str">
        <f>CONCATENATE(gene1!Q19,gene2!Q19,gene3!Q19,gene4!Q19)</f>
        <v/>
      </c>
      <c r="I20" s="18"/>
      <c r="J20" s="19"/>
      <c r="K20" s="55" t="s">
        <v>65</v>
      </c>
      <c r="L20" s="50" t="str">
        <f t="shared" ref="L20:L26" si="5">B20</f>
        <v/>
      </c>
      <c r="M20" s="55" t="s">
        <v>66</v>
      </c>
      <c r="N20" s="50" t="str">
        <f t="shared" ref="N20:N26" si="6">D20</f>
        <v/>
      </c>
      <c r="O20" s="55" t="s">
        <v>67</v>
      </c>
      <c r="P20" s="50" t="str">
        <f t="shared" ref="P20:P26" si="7">F20</f>
        <v/>
      </c>
      <c r="Q20" s="55" t="s">
        <v>68</v>
      </c>
      <c r="R20" s="50" t="str">
        <f t="shared" ref="R20:R26" si="8">H20</f>
        <v/>
      </c>
    </row>
    <row r="21" spans="1:18" ht="18" customHeight="1" x14ac:dyDescent="0.2">
      <c r="A21" s="5">
        <v>19</v>
      </c>
      <c r="B21" s="6" t="str">
        <f>CONCATENATE(gene1!K20,gene2!K20,gene3!K20,gene4!K20)</f>
        <v/>
      </c>
      <c r="C21" s="5">
        <v>43</v>
      </c>
      <c r="D21" s="6" t="str">
        <f>CONCATENATE(gene1!M20,gene2!M20,gene3!M20,gene4!M20)</f>
        <v/>
      </c>
      <c r="E21" s="5">
        <v>67</v>
      </c>
      <c r="F21" s="6" t="str">
        <f>CONCATENATE(gene1!O20,gene2!O20,gene3!O20,gene4!O20)</f>
        <v/>
      </c>
      <c r="G21" s="5">
        <v>91</v>
      </c>
      <c r="H21" s="6" t="str">
        <f>CONCATENATE(gene1!Q20,gene2!Q20,gene3!Q20,gene4!Q20)</f>
        <v/>
      </c>
      <c r="I21" s="18"/>
      <c r="J21" s="19"/>
      <c r="K21" s="55" t="s">
        <v>69</v>
      </c>
      <c r="L21" s="50" t="str">
        <f t="shared" si="5"/>
        <v/>
      </c>
      <c r="M21" s="55" t="s">
        <v>70</v>
      </c>
      <c r="N21" s="50" t="str">
        <f t="shared" si="6"/>
        <v/>
      </c>
      <c r="O21" s="55" t="s">
        <v>71</v>
      </c>
      <c r="P21" s="50" t="str">
        <f t="shared" si="7"/>
        <v/>
      </c>
      <c r="Q21" s="55" t="s">
        <v>72</v>
      </c>
      <c r="R21" s="50" t="str">
        <f t="shared" si="8"/>
        <v/>
      </c>
    </row>
    <row r="22" spans="1:18" ht="18" customHeight="1" x14ac:dyDescent="0.2">
      <c r="A22" s="5">
        <v>20</v>
      </c>
      <c r="B22" s="6" t="str">
        <f>CONCATENATE(gene1!K21,gene2!K21,gene3!K21,gene4!K21)</f>
        <v/>
      </c>
      <c r="C22" s="5">
        <v>44</v>
      </c>
      <c r="D22" s="6" t="str">
        <f>CONCATENATE(gene1!M21,gene2!M21,gene3!M21,gene4!M21)</f>
        <v/>
      </c>
      <c r="E22" s="5">
        <v>68</v>
      </c>
      <c r="F22" s="6" t="str">
        <f>CONCATENATE(gene1!O21,gene2!O21,gene3!O21,gene4!O21)</f>
        <v/>
      </c>
      <c r="G22" s="5">
        <v>92</v>
      </c>
      <c r="H22" s="6" t="str">
        <f>CONCATENATE(gene1!Q21,gene2!Q21,gene3!Q21,gene4!Q21)</f>
        <v/>
      </c>
      <c r="I22" s="18"/>
      <c r="J22" s="19"/>
      <c r="K22" s="55" t="s">
        <v>73</v>
      </c>
      <c r="L22" s="50" t="str">
        <f t="shared" si="5"/>
        <v/>
      </c>
      <c r="M22" s="55" t="s">
        <v>74</v>
      </c>
      <c r="N22" s="50" t="str">
        <f t="shared" si="6"/>
        <v/>
      </c>
      <c r="O22" s="55" t="s">
        <v>75</v>
      </c>
      <c r="P22" s="50" t="str">
        <f t="shared" si="7"/>
        <v/>
      </c>
      <c r="Q22" s="55" t="s">
        <v>76</v>
      </c>
      <c r="R22" s="50" t="str">
        <f t="shared" si="8"/>
        <v/>
      </c>
    </row>
    <row r="23" spans="1:18" ht="18" customHeight="1" x14ac:dyDescent="0.2">
      <c r="A23" s="5">
        <v>21</v>
      </c>
      <c r="B23" s="6" t="str">
        <f>CONCATENATE(gene1!K22,gene2!K22,gene3!K22,gene4!K22)</f>
        <v/>
      </c>
      <c r="C23" s="5">
        <v>45</v>
      </c>
      <c r="D23" s="6" t="str">
        <f>CONCATENATE(gene1!M22,gene2!M22,gene3!M22,gene4!M22)</f>
        <v/>
      </c>
      <c r="E23" s="5">
        <v>69</v>
      </c>
      <c r="F23" s="6" t="str">
        <f>CONCATENATE(gene1!O22,gene2!O22,gene3!O22,gene4!O22)</f>
        <v/>
      </c>
      <c r="G23" s="5">
        <v>93</v>
      </c>
      <c r="H23" s="6" t="str">
        <f>CONCATENATE(gene1!Q22,gene2!Q22,gene3!Q22,gene4!Q22)</f>
        <v/>
      </c>
      <c r="I23" s="18"/>
      <c r="J23" s="19"/>
      <c r="K23" s="55" t="s">
        <v>91</v>
      </c>
      <c r="L23" s="50" t="str">
        <f t="shared" si="5"/>
        <v/>
      </c>
      <c r="M23" s="55" t="s">
        <v>92</v>
      </c>
      <c r="N23" s="50" t="str">
        <f t="shared" si="6"/>
        <v/>
      </c>
      <c r="O23" s="55" t="s">
        <v>93</v>
      </c>
      <c r="P23" s="50" t="str">
        <f t="shared" si="7"/>
        <v/>
      </c>
      <c r="Q23" s="55" t="s">
        <v>94</v>
      </c>
      <c r="R23" s="50" t="str">
        <f t="shared" si="8"/>
        <v/>
      </c>
    </row>
    <row r="24" spans="1:18" ht="18" customHeight="1" x14ac:dyDescent="0.2">
      <c r="A24" s="5">
        <v>22</v>
      </c>
      <c r="B24" s="6" t="str">
        <f>CONCATENATE(gene1!K23,gene2!K23,gene3!K23,gene4!K23)</f>
        <v/>
      </c>
      <c r="C24" s="5">
        <v>46</v>
      </c>
      <c r="D24" s="6" t="str">
        <f>CONCATENATE(gene1!M23,gene2!M23,gene3!M23,gene4!M23)</f>
        <v/>
      </c>
      <c r="E24" s="5">
        <v>70</v>
      </c>
      <c r="F24" s="6" t="str">
        <f>CONCATENATE(gene1!O23,gene2!O23,gene3!O23,gene4!O23)</f>
        <v/>
      </c>
      <c r="G24" s="5">
        <v>94</v>
      </c>
      <c r="H24" s="6" t="str">
        <f>CONCATENATE(gene1!Q23,gene2!Q23,gene3!Q23,gene4!Q23)</f>
        <v/>
      </c>
      <c r="I24" s="18"/>
      <c r="J24" s="19"/>
      <c r="K24" s="55" t="s">
        <v>77</v>
      </c>
      <c r="L24" s="50" t="str">
        <f t="shared" si="5"/>
        <v/>
      </c>
      <c r="M24" s="55" t="s">
        <v>78</v>
      </c>
      <c r="N24" s="50" t="str">
        <f t="shared" si="6"/>
        <v/>
      </c>
      <c r="O24" s="55" t="s">
        <v>79</v>
      </c>
      <c r="P24" s="50" t="str">
        <f t="shared" si="7"/>
        <v/>
      </c>
      <c r="Q24" s="55" t="s">
        <v>80</v>
      </c>
      <c r="R24" s="50" t="str">
        <f t="shared" si="8"/>
        <v/>
      </c>
    </row>
    <row r="25" spans="1:18" ht="18" customHeight="1" x14ac:dyDescent="0.2">
      <c r="A25" s="5">
        <v>23</v>
      </c>
      <c r="B25" s="6" t="str">
        <f>CONCATENATE(gene1!K24,gene2!K24,gene3!K24,gene4!K24)</f>
        <v/>
      </c>
      <c r="C25" s="5">
        <v>47</v>
      </c>
      <c r="D25" s="6" t="str">
        <f>CONCATENATE(gene1!M24,gene2!M24,gene3!M24,gene4!M24)</f>
        <v/>
      </c>
      <c r="E25" s="5">
        <v>71</v>
      </c>
      <c r="F25" s="6" t="str">
        <f>CONCATENATE(gene1!O24,gene2!O24,gene3!O24,gene4!O24)</f>
        <v/>
      </c>
      <c r="G25" s="5">
        <v>95</v>
      </c>
      <c r="H25" s="6" t="str">
        <f>CONCATENATE(gene1!Q24,gene2!Q24,gene3!Q24,gene4!Q24)</f>
        <v/>
      </c>
      <c r="I25" s="18"/>
      <c r="J25" s="19"/>
      <c r="K25" s="55" t="s">
        <v>81</v>
      </c>
      <c r="L25" s="50" t="str">
        <f t="shared" si="5"/>
        <v/>
      </c>
      <c r="M25" s="55" t="s">
        <v>82</v>
      </c>
      <c r="N25" s="50" t="str">
        <f t="shared" si="6"/>
        <v/>
      </c>
      <c r="O25" s="55" t="s">
        <v>83</v>
      </c>
      <c r="P25" s="50" t="str">
        <f t="shared" si="7"/>
        <v/>
      </c>
      <c r="Q25" s="55" t="s">
        <v>84</v>
      </c>
      <c r="R25" s="50" t="str">
        <f t="shared" si="8"/>
        <v/>
      </c>
    </row>
    <row r="26" spans="1:18" ht="18" customHeight="1" thickBot="1" x14ac:dyDescent="0.25">
      <c r="A26" s="7">
        <v>24</v>
      </c>
      <c r="B26" s="8" t="str">
        <f>CONCATENATE(gene1!K25,gene2!K25,gene3!K25,gene4!K25)</f>
        <v/>
      </c>
      <c r="C26" s="7">
        <v>48</v>
      </c>
      <c r="D26" s="8" t="str">
        <f>CONCATENATE(gene1!M25,gene2!M25,gene3!M25,gene4!M25)</f>
        <v/>
      </c>
      <c r="E26" s="7">
        <v>72</v>
      </c>
      <c r="F26" s="8" t="str">
        <f>CONCATENATE(gene1!O25,gene2!O25,gene3!O25,gene4!O25)</f>
        <v/>
      </c>
      <c r="G26" s="7">
        <v>96</v>
      </c>
      <c r="H26" s="8" t="str">
        <f>CONCATENATE(gene1!Q25,gene2!Q25,gene3!Q25,gene4!Q25)</f>
        <v/>
      </c>
      <c r="I26" s="18"/>
      <c r="J26" s="19"/>
      <c r="K26" s="57" t="s">
        <v>85</v>
      </c>
      <c r="L26" s="51" t="str">
        <f t="shared" si="5"/>
        <v/>
      </c>
      <c r="M26" s="57" t="s">
        <v>86</v>
      </c>
      <c r="N26" s="51" t="str">
        <f t="shared" si="6"/>
        <v/>
      </c>
      <c r="O26" s="57" t="s">
        <v>87</v>
      </c>
      <c r="P26" s="51" t="str">
        <f t="shared" si="7"/>
        <v/>
      </c>
      <c r="Q26" s="57" t="s">
        <v>88</v>
      </c>
      <c r="R26" s="51" t="str">
        <f t="shared" si="8"/>
        <v/>
      </c>
    </row>
    <row r="27" spans="1:18" ht="18" customHeight="1" x14ac:dyDescent="0.2">
      <c r="A27" s="91"/>
      <c r="B27" s="91"/>
      <c r="C27" s="91"/>
      <c r="D27" s="91"/>
      <c r="E27" s="91"/>
      <c r="F27" s="91"/>
      <c r="G27" s="91"/>
      <c r="H27" s="91"/>
      <c r="I27" s="3"/>
      <c r="J27" s="3"/>
      <c r="K27" s="42"/>
      <c r="L27" s="42"/>
      <c r="M27" s="42"/>
      <c r="N27" s="42"/>
      <c r="O27" s="42"/>
      <c r="P27" s="42"/>
      <c r="Q27" s="42"/>
      <c r="R27" s="42"/>
    </row>
    <row r="28" spans="1:18" ht="16" x14ac:dyDescent="0.2"/>
    <row r="29" spans="1:18" ht="18" customHeight="1" x14ac:dyDescent="0.2">
      <c r="A29" s="3"/>
      <c r="H29" s="11"/>
      <c r="K29" s="43"/>
      <c r="L29" s="43"/>
      <c r="M29" s="43"/>
      <c r="N29" s="43"/>
      <c r="O29" s="43"/>
      <c r="P29" s="43"/>
    </row>
    <row r="30" spans="1:18" ht="18" customHeight="1" x14ac:dyDescent="0.2">
      <c r="H30" s="11"/>
      <c r="I30" s="1"/>
      <c r="J30" s="1"/>
    </row>
    <row r="31" spans="1:18" ht="18" customHeight="1" x14ac:dyDescent="0.2">
      <c r="H31" s="11"/>
      <c r="I31" s="1"/>
      <c r="J31" s="1"/>
    </row>
    <row r="32" spans="1:18" ht="18" customHeight="1" x14ac:dyDescent="0.2">
      <c r="A32" s="3"/>
      <c r="H32" s="11"/>
    </row>
    <row r="33" spans="1:19" ht="18" customHeight="1" x14ac:dyDescent="0.2">
      <c r="H33" s="11"/>
    </row>
    <row r="34" spans="1:19" ht="18" customHeight="1" x14ac:dyDescent="0.2">
      <c r="H34" s="11"/>
    </row>
    <row r="35" spans="1:19" ht="18" customHeight="1" x14ac:dyDescent="0.2">
      <c r="A35" s="3"/>
      <c r="H35" s="11"/>
    </row>
    <row r="36" spans="1:19" ht="18" customHeight="1" x14ac:dyDescent="0.2">
      <c r="H36" s="11"/>
    </row>
    <row r="37" spans="1:19" ht="18" customHeight="1" x14ac:dyDescent="0.2">
      <c r="H37" s="11"/>
    </row>
    <row r="38" spans="1:19" ht="18" customHeight="1" x14ac:dyDescent="0.2">
      <c r="D38" s="3"/>
      <c r="E38" s="3"/>
      <c r="F38" s="3"/>
      <c r="G38" s="3"/>
      <c r="H38" s="11"/>
    </row>
    <row r="39" spans="1:19" ht="18" customHeight="1" x14ac:dyDescent="0.2">
      <c r="D39" s="3"/>
      <c r="E39" s="3"/>
      <c r="F39" s="3"/>
      <c r="G39" s="3"/>
      <c r="H39" s="11"/>
      <c r="Q39" s="43"/>
      <c r="R39" s="43"/>
      <c r="S39" s="42"/>
    </row>
    <row r="40" spans="1:19" ht="18" customHeight="1" x14ac:dyDescent="0.2">
      <c r="D40" s="3"/>
      <c r="E40" s="3"/>
      <c r="F40" s="3"/>
      <c r="G40" s="3"/>
      <c r="H40" s="11"/>
    </row>
    <row r="41" spans="1:19" ht="18" customHeight="1" x14ac:dyDescent="0.2">
      <c r="D41" s="3"/>
      <c r="E41" s="3"/>
      <c r="F41" s="3"/>
      <c r="G41" s="3"/>
      <c r="H41" s="11"/>
    </row>
    <row r="42" spans="1:19" ht="18" customHeight="1" x14ac:dyDescent="0.2">
      <c r="D42" s="3"/>
      <c r="E42" s="3"/>
      <c r="F42" s="3"/>
      <c r="G42" s="3"/>
      <c r="H42" s="11"/>
    </row>
    <row r="43" spans="1:19" ht="18" customHeight="1" x14ac:dyDescent="0.2">
      <c r="D43" s="3"/>
      <c r="E43" s="3"/>
      <c r="F43" s="3"/>
      <c r="G43" s="3"/>
      <c r="H43" s="11" t="str">
        <f t="shared" ref="H43" si="9">CONCATENATE(D52,E52,F52,G52)</f>
        <v/>
      </c>
    </row>
    <row r="44" spans="1:19" ht="18" customHeight="1" x14ac:dyDescent="0.2">
      <c r="D44" s="3"/>
      <c r="E44" s="3"/>
      <c r="F44" s="3"/>
      <c r="G44" s="3"/>
    </row>
    <row r="45" spans="1:19" ht="18" customHeight="1" x14ac:dyDescent="0.2">
      <c r="D45" s="3"/>
      <c r="E45" s="3"/>
      <c r="F45" s="3"/>
      <c r="G45" s="3"/>
    </row>
    <row r="46" spans="1:19" ht="18" customHeight="1" x14ac:dyDescent="0.2">
      <c r="D46" s="3"/>
      <c r="E46" s="3"/>
      <c r="F46" s="3"/>
      <c r="G46" s="3"/>
    </row>
    <row r="47" spans="1:19" ht="18" customHeight="1" x14ac:dyDescent="0.2">
      <c r="D47" s="3"/>
      <c r="E47" s="3"/>
      <c r="F47" s="3"/>
      <c r="G47" s="3"/>
    </row>
    <row r="48" spans="1:19" ht="18" customHeight="1" x14ac:dyDescent="0.2">
      <c r="D48" s="3"/>
      <c r="E48" s="3"/>
      <c r="F48" s="3"/>
      <c r="G48" s="3"/>
    </row>
    <row r="49" spans="4:7" ht="18" customHeight="1" x14ac:dyDescent="0.2">
      <c r="D49" s="3"/>
      <c r="E49" s="3"/>
      <c r="F49" s="3"/>
      <c r="G49" s="3"/>
    </row>
    <row r="50" spans="4:7" ht="18" customHeight="1" x14ac:dyDescent="0.2">
      <c r="D50" s="3"/>
      <c r="E50" s="3"/>
      <c r="F50" s="3"/>
      <c r="G50" s="3"/>
    </row>
    <row r="51" spans="4:7" ht="18" customHeight="1" x14ac:dyDescent="0.2">
      <c r="D51" s="3"/>
      <c r="E51" s="3"/>
      <c r="F51" s="3"/>
      <c r="G51" s="3"/>
    </row>
    <row r="52" spans="4:7" ht="18" customHeight="1" x14ac:dyDescent="0.2">
      <c r="D52" s="3"/>
      <c r="E52" s="3"/>
      <c r="F52" s="3"/>
      <c r="G52" s="3"/>
    </row>
    <row r="53" spans="4:7" ht="18" customHeight="1" x14ac:dyDescent="0.2">
      <c r="E53" s="3"/>
      <c r="F53" s="3"/>
      <c r="G53" s="3"/>
    </row>
    <row r="55" spans="4:7" ht="18" customHeight="1" x14ac:dyDescent="0.2">
      <c r="D55" s="10"/>
    </row>
  </sheetData>
  <sheetProtection sheet="1" objects="1" scenarios="1" formatCells="0" formatColumns="0" formatRows="0"/>
  <mergeCells count="1">
    <mergeCell ref="M1:R1"/>
  </mergeCells>
  <phoneticPr fontId="10" type="noConversion"/>
  <conditionalFormatting sqref="I3:I11 L3:L26 N3:N26 P3:P26 R3:R26">
    <cfRule type="containsBlanks" dxfId="9" priority="1">
      <formula>LEN(TRIM(I3))=0</formula>
    </cfRule>
    <cfRule type="expression" dxfId="8" priority="42">
      <formula>I3=$I$3</formula>
    </cfRule>
    <cfRule type="expression" dxfId="7" priority="43">
      <formula>I3=$I$4</formula>
    </cfRule>
    <cfRule type="expression" dxfId="6" priority="44">
      <formula>I3=$I$5</formula>
    </cfRule>
    <cfRule type="expression" dxfId="5" priority="45">
      <formula>I3=$I$6</formula>
    </cfRule>
    <cfRule type="expression" dxfId="4" priority="46">
      <formula>I3=$I$7</formula>
    </cfRule>
    <cfRule type="expression" dxfId="3" priority="47">
      <formula>I3=$I$8</formula>
    </cfRule>
    <cfRule type="expression" dxfId="2" priority="48">
      <formula>I3=$I$9</formula>
    </cfRule>
    <cfRule type="expression" dxfId="1" priority="49">
      <formula>I3=$I$10</formula>
    </cfRule>
    <cfRule type="expression" dxfId="0" priority="50">
      <formula>I3=$I$11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A03E-D634-DF4F-B3E0-CC73D1028B7B}">
  <dimension ref="A1:Q99"/>
  <sheetViews>
    <sheetView workbookViewId="0">
      <selection activeCell="D2" sqref="D2:L2"/>
    </sheetView>
  </sheetViews>
  <sheetFormatPr baseColWidth="10" defaultRowHeight="16" x14ac:dyDescent="0.2"/>
  <cols>
    <col min="3" max="3" width="3.5" bestFit="1" customWidth="1"/>
    <col min="4" max="12" width="9" customWidth="1"/>
  </cols>
  <sheetData>
    <row r="1" spans="1:17" ht="17" thickBot="1" x14ac:dyDescent="0.25">
      <c r="C1" s="28" t="s">
        <v>105</v>
      </c>
      <c r="D1" s="29">
        <f>IF(D3="","",COUNTIFS($B$4:$B$99,D3,$B$4:$B$99,REPT("?",LEN(D3))))</f>
        <v>0</v>
      </c>
      <c r="E1" s="29">
        <f t="shared" ref="E1:L1" si="0">IF(E3="","",COUNTIFS($B$4:$B$99,E3,$B$4:$B$99,REPT("?",LEN(E3))))</f>
        <v>0</v>
      </c>
      <c r="F1" s="29">
        <f t="shared" si="0"/>
        <v>0</v>
      </c>
      <c r="G1" s="29" t="str">
        <f t="shared" si="0"/>
        <v/>
      </c>
      <c r="H1" s="29" t="str">
        <f t="shared" si="0"/>
        <v/>
      </c>
      <c r="I1" s="29" t="str">
        <f t="shared" si="0"/>
        <v/>
      </c>
      <c r="J1" s="29" t="str">
        <f t="shared" si="0"/>
        <v/>
      </c>
      <c r="K1" s="29" t="str">
        <f t="shared" si="0"/>
        <v/>
      </c>
      <c r="L1" s="29" t="str">
        <f t="shared" si="0"/>
        <v/>
      </c>
      <c r="N1" s="109" t="s">
        <v>116</v>
      </c>
      <c r="O1" s="109"/>
      <c r="P1" s="100">
        <v>43705</v>
      </c>
      <c r="Q1" t="s">
        <v>117</v>
      </c>
    </row>
    <row r="2" spans="1:17" ht="22" thickBot="1" x14ac:dyDescent="0.3">
      <c r="A2" s="109" t="s">
        <v>107</v>
      </c>
      <c r="B2" s="109"/>
      <c r="D2" s="106" t="str">
        <f>IF(combined!M1="Genotyper","Genotype Locations",combined!M1)</f>
        <v>Genotype Locations</v>
      </c>
      <c r="E2" s="107"/>
      <c r="F2" s="107"/>
      <c r="G2" s="107"/>
      <c r="H2" s="107"/>
      <c r="I2" s="107"/>
      <c r="J2" s="107"/>
      <c r="K2" s="107"/>
      <c r="L2" s="108"/>
    </row>
    <row r="3" spans="1:17" ht="22" thickBot="1" x14ac:dyDescent="0.3">
      <c r="A3" s="109" t="s">
        <v>106</v>
      </c>
      <c r="B3" s="109"/>
      <c r="D3" s="86" t="str">
        <f>IF(combined!I3="","",combined!I3)</f>
        <v>00</v>
      </c>
      <c r="E3" s="87" t="str">
        <f>IF(combined!I4="","",combined!I4)</f>
        <v>01</v>
      </c>
      <c r="F3" s="87" t="str">
        <f>IF(combined!I5="","",combined!I5)</f>
        <v>10</v>
      </c>
      <c r="G3" s="87" t="str">
        <f>IF(combined!I6="","",combined!I6)</f>
        <v/>
      </c>
      <c r="H3" s="87" t="str">
        <f>IF(combined!I7="","",combined!I7)</f>
        <v/>
      </c>
      <c r="I3" s="87" t="str">
        <f>IF(combined!I8="","",combined!I8)</f>
        <v/>
      </c>
      <c r="J3" s="87" t="str">
        <f>IF(combined!I9="","",combined!I9)</f>
        <v/>
      </c>
      <c r="K3" s="87" t="str">
        <f>IF(combined!I10="","",combined!I10)</f>
        <v/>
      </c>
      <c r="L3" s="88" t="str">
        <f>IF(combined!I11="","",combined!I11)</f>
        <v/>
      </c>
      <c r="M3" s="30"/>
    </row>
    <row r="4" spans="1:17" x14ac:dyDescent="0.2">
      <c r="A4" t="str">
        <f>combined!K3</f>
        <v>1A-1</v>
      </c>
      <c r="B4" t="str">
        <f>combined!L3</f>
        <v/>
      </c>
      <c r="D4" s="32" t="str">
        <f>IFERROR(IF(AND(ROWS(D$4:D4)&lt;=D$1,D$1&lt;&gt;""),INDEX($A$4:$A$99,_xlfn.AGGREGATE(15,3,($B$4:$B$99=D$3)/($B$4:$B$99=D$3)*(ROW($B$4:$B$99))-ROW($A$4)+1,ROWS(D$4:D4))),""),"")</f>
        <v/>
      </c>
      <c r="E4" s="33" t="str">
        <f>IFERROR(IF(AND(ROWS(E$4:E4)&lt;=E$1,E$1&lt;&gt;""),INDEX($A$4:$A$99,_xlfn.AGGREGATE(15,3,($B$4:$B$99=E$3)/($B$4:$B$99=E$3)*(ROW($B$4:$B$99))-ROW($A$4)+1,ROWS(E$4:E4))),""),"")</f>
        <v/>
      </c>
      <c r="F4" s="33" t="str">
        <f>IFERROR(IF(AND(ROWS(F$4:F4)&lt;=F$1,F$1&lt;&gt;""),INDEX($A$4:$A$99,_xlfn.AGGREGATE(15,3,($B$4:$B$99=F$3)/($B$4:$B$99=F$3)*(ROW($B$4:$B$99))-ROW($A$4)+1,ROWS(F$4:F4))),""),"")</f>
        <v/>
      </c>
      <c r="G4" s="33" t="str">
        <f>IFERROR(IF(AND(ROWS(G$4:G4)&lt;=G$1,G$1&lt;&gt;""),INDEX($A$4:$A$99,_xlfn.AGGREGATE(15,3,($B$4:$B$99=G$3)/($B$4:$B$99=G$3)*(ROW($B$4:$B$99))-ROW($A$4)+1,ROWS(G$4:G4))),""),"")</f>
        <v/>
      </c>
      <c r="H4" s="33" t="str" cm="1">
        <f t="array" ref="H4">IFERROR(_xlfn.SINGLE(IF(AND(ROWS(H$4:H4)&lt;=H$1,H$1&lt;&gt;""),INDEX($A$4:$A$99,_xlfn.AGGREGATE(15,3,($B$4:$B$99=H$3)/($B$4:$B$99=H$3)*(ROW($B$4:$B$99))-ROW($A$4)+1,ROWS(H$4:H4))),"")),"")</f>
        <v/>
      </c>
      <c r="I4" s="33" t="str">
        <f>IFERROR(IF(AND(ROWS(I$4:I4)&lt;=I$1,I$1&lt;&gt;""),INDEX($A$4:$A$99,_xlfn.AGGREGATE(15,3,($B$4:$B$99=I$3)/($B$4:$B$99=I$3)*(ROW($B$4:$B$99))-ROW($A$4)+1,ROWS(I$4:I4))),""),"")</f>
        <v/>
      </c>
      <c r="J4" s="33" t="str">
        <f>IFERROR(IF(AND(ROWS(J$4:J4)&lt;=J$1,J$1&lt;&gt;""),INDEX($A$4:$A$99,_xlfn.AGGREGATE(15,3,($B$4:$B$99=J$3)/($B$4:$B$99=J$3)*(ROW($B$4:$B$99))-ROW($A$4)+1,ROWS(J$4:J4))),""),"")</f>
        <v/>
      </c>
      <c r="K4" s="33" t="str">
        <f>IFERROR(IF(AND(ROWS(K$4:K4)&lt;=K$1,K$1&lt;&gt;""),INDEX($A$4:$A$99,_xlfn.AGGREGATE(15,3,($B$4:$B$99=K$3)/($B$4:$B$99=K$3)*(ROW($B$4:$B$99))-ROW($A$4)+1,ROWS(K$4:K4))),""),"")</f>
        <v/>
      </c>
      <c r="L4" s="34" t="str">
        <f>IFERROR(IF(AND(ROWS(L$4:L4)&lt;=L$1,L$1&lt;&gt;""),INDEX($A$4:$A$99,_xlfn.AGGREGATE(15,3,($B$4:$B$99=L$3)/($B$4:$B$99=L$3)*(ROW($B$4:$B$99))-ROW($A$4)+1,ROWS(L$4:L4))),""),"")</f>
        <v/>
      </c>
    </row>
    <row r="5" spans="1:17" x14ac:dyDescent="0.2">
      <c r="A5" t="str">
        <f>combined!K4</f>
        <v>1B-2</v>
      </c>
      <c r="B5" t="str">
        <f>combined!L4</f>
        <v/>
      </c>
      <c r="D5" s="35" t="str">
        <f>IFERROR(IF(AND(ROWS(D$4:D5)&lt;=D$1,D$1&lt;&gt;""),INDEX($A$4:$A$99,_xlfn.AGGREGATE(15,3,($B$4:$B$99=D$3)/($B$4:$B$99=D$3)*(ROW($B$4:$B$99))-ROW($A$4)+1,ROWS(D$4:D5))),""),"")</f>
        <v/>
      </c>
      <c r="E5" s="31" t="str">
        <f>IFERROR(IF(AND(ROWS(E$4:E5)&lt;=E$1,E$1&lt;&gt;""),INDEX($A$4:$A$99,_xlfn.AGGREGATE(15,3,($B$4:$B$99=E$3)/($B$4:$B$99=E$3)*(ROW($B$4:$B$99))-ROW($A$4)+1,ROWS(E$4:E5))),""),"")</f>
        <v/>
      </c>
      <c r="F5" s="31" t="str">
        <f>IFERROR(IF(AND(ROWS(F$4:F5)&lt;=F$1,F$1&lt;&gt;""),INDEX($A$4:$A$99,_xlfn.AGGREGATE(15,3,($B$4:$B$99=F$3)/($B$4:$B$99=F$3)*(ROW($B$4:$B$99))-ROW($A$4)+1,ROWS(F$4:F5))),""),"")</f>
        <v/>
      </c>
      <c r="G5" s="31" t="str">
        <f>IFERROR(IF(AND(ROWS(G$4:G5)&lt;=G$1,G$1&lt;&gt;""),INDEX($A$4:$A$99,_xlfn.AGGREGATE(15,3,($B$4:$B$99=G$3)/($B$4:$B$99=G$3)*(ROW($B$4:$B$99))-ROW($A$4)+1,ROWS(G$4:G5))),""),"")</f>
        <v/>
      </c>
      <c r="H5" s="31" t="str">
        <f>IFERROR(IF(AND(ROWS(H$4:H5)&lt;=H$1,H$1&lt;&gt;""),INDEX($A$4:$A$99,_xlfn.AGGREGATE(15,3,($B$4:$B$99=H$3)/($B$4:$B$99=H$3)*(ROW($B$4:$B$99))-ROW($A$4)+1,ROWS(H$4:H5))),""),"")</f>
        <v/>
      </c>
      <c r="I5" s="31" t="str">
        <f>IFERROR(IF(AND(ROWS(I$4:I5)&lt;=I$1,I$1&lt;&gt;""),INDEX($A$4:$A$99,_xlfn.AGGREGATE(15,3,($B$4:$B$99=I$3)/($B$4:$B$99=I$3)*(ROW($B$4:$B$99))-ROW($A$4)+1,ROWS(I$4:I5))),""),"")</f>
        <v/>
      </c>
      <c r="J5" s="31" t="str">
        <f>IFERROR(IF(AND(ROWS(J$4:J5)&lt;=J$1,J$1&lt;&gt;""),INDEX($A$4:$A$99,_xlfn.AGGREGATE(15,3,($B$4:$B$99=J$3)/($B$4:$B$99=J$3)*(ROW($B$4:$B$99))-ROW($A$4)+1,ROWS(J$4:J5))),""),"")</f>
        <v/>
      </c>
      <c r="K5" s="31" t="str">
        <f>IFERROR(IF(AND(ROWS(K$4:K5)&lt;=K$1,K$1&lt;&gt;""),INDEX($A$4:$A$99,_xlfn.AGGREGATE(15,3,($B$4:$B$99=K$3)/($B$4:$B$99=K$3)*(ROW($B$4:$B$99))-ROW($A$4)+1,ROWS(K$4:K5))),""),"")</f>
        <v/>
      </c>
      <c r="L5" s="36" t="str">
        <f>IFERROR(IF(AND(ROWS(L$4:L5)&lt;=L$1,L$1&lt;&gt;""),INDEX($A$4:$A$99,_xlfn.AGGREGATE(15,3,($B$4:$B$99=L$3)/($B$4:$B$99=L$3)*(ROW($B$4:$B$99))-ROW($A$4)+1,ROWS(L$4:L5))),""),"")</f>
        <v/>
      </c>
    </row>
    <row r="6" spans="1:17" x14ac:dyDescent="0.2">
      <c r="A6" t="str">
        <f>combined!K5</f>
        <v>1C-3</v>
      </c>
      <c r="B6" t="str">
        <f>combined!L5</f>
        <v/>
      </c>
      <c r="D6" s="35" t="str">
        <f>IFERROR(IF(AND(ROWS(D$4:D6)&lt;=D$1,D$1&lt;&gt;""),INDEX($A$4:$A$99,_xlfn.AGGREGATE(15,3,($B$4:$B$99=D$3)/($B$4:$B$99=D$3)*(ROW($B$4:$B$99))-ROW($A$4)+1,ROWS(D$4:D6))),""),"")</f>
        <v/>
      </c>
      <c r="E6" s="31" t="str">
        <f>IFERROR(IF(AND(ROWS(E$4:E6)&lt;=E$1,E$1&lt;&gt;""),INDEX($A$4:$A$99,_xlfn.AGGREGATE(15,3,($B$4:$B$99=E$3)/($B$4:$B$99=E$3)*(ROW($B$4:$B$99))-ROW($A$4)+1,ROWS(E$4:E6))),""),"")</f>
        <v/>
      </c>
      <c r="F6" s="31" t="str">
        <f>IFERROR(IF(AND(ROWS(F$4:F6)&lt;=F$1,F$1&lt;&gt;""),INDEX($A$4:$A$99,_xlfn.AGGREGATE(15,3,($B$4:$B$99=F$3)/($B$4:$B$99=F$3)*(ROW($B$4:$B$99))-ROW($A$4)+1,ROWS(F$4:F6))),""),"")</f>
        <v/>
      </c>
      <c r="G6" s="31" t="str">
        <f>IFERROR(IF(AND(ROWS(G$4:G6)&lt;=G$1,G$1&lt;&gt;""),INDEX($A$4:$A$99,_xlfn.AGGREGATE(15,3,($B$4:$B$99=G$3)/($B$4:$B$99=G$3)*(ROW($B$4:$B$99))-ROW($A$4)+1,ROWS(G$4:G6))),""),"")</f>
        <v/>
      </c>
      <c r="H6" s="31" t="str" cm="1">
        <f t="array" ref="H6">IFERROR(_xlfn.SINGLE(IF(AND(ROWS(H$4:H6)&lt;=H$1,H$1&lt;&gt;""),INDEX($A$4:$A$99,_xlfn.AGGREGATE(15,3,($B$4:$B$99=H$3)/($B$4:$B$99=H$3)*(ROW($B$4:$B$99))-ROW($A$4)+1,ROWS(H$4:H6))),"")),"")</f>
        <v/>
      </c>
      <c r="I6" s="31" t="str">
        <f>IFERROR(IF(AND(ROWS(I$4:I6)&lt;=I$1,I$1&lt;&gt;""),INDEX($A$4:$A$99,_xlfn.AGGREGATE(15,3,($B$4:$B$99=I$3)/($B$4:$B$99=I$3)*(ROW($B$4:$B$99))-ROW($A$4)+1,ROWS(I$4:I6))),""),"")</f>
        <v/>
      </c>
      <c r="J6" s="31" t="str">
        <f>IFERROR(IF(AND(ROWS(J$4:J6)&lt;=J$1,J$1&lt;&gt;""),INDEX($A$4:$A$99,_xlfn.AGGREGATE(15,3,($B$4:$B$99=J$3)/($B$4:$B$99=J$3)*(ROW($B$4:$B$99))-ROW($A$4)+1,ROWS(J$4:J6))),""),"")</f>
        <v/>
      </c>
      <c r="K6" s="31" t="str">
        <f>IFERROR(IF(AND(ROWS(K$4:K6)&lt;=K$1,K$1&lt;&gt;""),INDEX($A$4:$A$99,_xlfn.AGGREGATE(15,3,($B$4:$B$99=K$3)/($B$4:$B$99=K$3)*(ROW($B$4:$B$99))-ROW($A$4)+1,ROWS(K$4:K6))),""),"")</f>
        <v/>
      </c>
      <c r="L6" s="36" t="str">
        <f>IFERROR(IF(AND(ROWS(L$4:L6)&lt;=L$1,L$1&lt;&gt;""),INDEX($A$4:$A$99,_xlfn.AGGREGATE(15,3,($B$4:$B$99=L$3)/($B$4:$B$99=L$3)*(ROW($B$4:$B$99))-ROW($A$4)+1,ROWS(L$4:L6))),""),"")</f>
        <v/>
      </c>
    </row>
    <row r="7" spans="1:17" x14ac:dyDescent="0.2">
      <c r="A7" t="str">
        <f>combined!K6</f>
        <v>1D-4</v>
      </c>
      <c r="B7" t="str">
        <f>combined!L6</f>
        <v/>
      </c>
      <c r="D7" s="35" t="str">
        <f>IFERROR(IF(AND(ROWS(D$4:D7)&lt;=D$1,D$1&lt;&gt;""),INDEX($A$4:$A$99,_xlfn.AGGREGATE(15,3,($B$4:$B$99=D$3)/($B$4:$B$99=D$3)*(ROW($B$4:$B$99))-ROW($A$4)+1,ROWS(D$4:D7))),""),"")</f>
        <v/>
      </c>
      <c r="E7" s="31" t="str">
        <f>IFERROR(IF(AND(ROWS(E$4:E7)&lt;=E$1,E$1&lt;&gt;""),INDEX($A$4:$A$99,_xlfn.AGGREGATE(15,3,($B$4:$B$99=E$3)/($B$4:$B$99=E$3)*(ROW($B$4:$B$99))-ROW($A$4)+1,ROWS(E$4:E7))),""),"")</f>
        <v/>
      </c>
      <c r="F7" s="31" t="str">
        <f>IFERROR(IF(AND(ROWS(F$4:F7)&lt;=F$1,F$1&lt;&gt;""),INDEX($A$4:$A$99,_xlfn.AGGREGATE(15,3,($B$4:$B$99=F$3)/($B$4:$B$99=F$3)*(ROW($B$4:$B$99))-ROW($A$4)+1,ROWS(F$4:F7))),""),"")</f>
        <v/>
      </c>
      <c r="G7" s="31" t="str">
        <f>IFERROR(IF(AND(ROWS(G$4:G7)&lt;=G$1,G$1&lt;&gt;""),INDEX($A$4:$A$99,_xlfn.AGGREGATE(15,3,($B$4:$B$99=G$3)/($B$4:$B$99=G$3)*(ROW($B$4:$B$99))-ROW($A$4)+1,ROWS(G$4:G7))),""),"")</f>
        <v/>
      </c>
      <c r="H7" s="31" t="str" cm="1">
        <f t="array" ref="H7">IFERROR(_xlfn.SINGLE(IF(AND(ROWS(H$4:H7)&lt;=H$1,H$1&lt;&gt;""),INDEX($A$4:$A$99,_xlfn.AGGREGATE(15,3,($B$4:$B$99=H$3)/($B$4:$B$99=H$3)*(ROW($B$4:$B$99))-ROW($A$4)+1,ROWS(H$4:H7))),"")),"")</f>
        <v/>
      </c>
      <c r="I7" s="31" t="str">
        <f>IFERROR(IF(AND(ROWS(I$4:I7)&lt;=I$1,I$1&lt;&gt;""),INDEX($A$4:$A$99,_xlfn.AGGREGATE(15,3,($B$4:$B$99=I$3)/($B$4:$B$99=I$3)*(ROW($B$4:$B$99))-ROW($A$4)+1,ROWS(I$4:I7))),""),"")</f>
        <v/>
      </c>
      <c r="J7" s="31" t="str">
        <f>IFERROR(IF(AND(ROWS(J$4:J7)&lt;=J$1,J$1&lt;&gt;""),INDEX($A$4:$A$99,_xlfn.AGGREGATE(15,3,($B$4:$B$99=J$3)/($B$4:$B$99=J$3)*(ROW($B$4:$B$99))-ROW($A$4)+1,ROWS(J$4:J7))),""),"")</f>
        <v/>
      </c>
      <c r="K7" s="31" t="str">
        <f>IFERROR(IF(AND(ROWS(K$4:K7)&lt;=K$1,K$1&lt;&gt;""),INDEX($A$4:$A$99,_xlfn.AGGREGATE(15,3,($B$4:$B$99=K$3)/($B$4:$B$99=K$3)*(ROW($B$4:$B$99))-ROW($A$4)+1,ROWS(K$4:K7))),""),"")</f>
        <v/>
      </c>
      <c r="L7" s="36" t="str">
        <f>IFERROR(IF(AND(ROWS(L$4:L7)&lt;=L$1,L$1&lt;&gt;""),INDEX($A$4:$A$99,_xlfn.AGGREGATE(15,3,($B$4:$B$99=L$3)/($B$4:$B$99=L$3)*(ROW($B$4:$B$99))-ROW($A$4)+1,ROWS(L$4:L7))),""),"")</f>
        <v/>
      </c>
    </row>
    <row r="8" spans="1:17" x14ac:dyDescent="0.2">
      <c r="A8" t="str">
        <f>combined!K7</f>
        <v>1E-5</v>
      </c>
      <c r="B8" t="str">
        <f>combined!L7</f>
        <v/>
      </c>
      <c r="D8" s="35" t="str">
        <f>IFERROR(IF(AND(ROWS(D$4:D8)&lt;=D$1,D$1&lt;&gt;""),INDEX($A$4:$A$99,_xlfn.AGGREGATE(15,3,($B$4:$B$99=D$3)/($B$4:$B$99=D$3)*(ROW($B$4:$B$99))-ROW($A$4)+1,ROWS(D$4:D8))),""),"")</f>
        <v/>
      </c>
      <c r="E8" s="31" t="str">
        <f>IFERROR(IF(AND(ROWS(E$4:E8)&lt;=E$1,E$1&lt;&gt;""),INDEX($A$4:$A$99,_xlfn.AGGREGATE(15,3,($B$4:$B$99=E$3)/($B$4:$B$99=E$3)*(ROW($B$4:$B$99))-ROW($A$4)+1,ROWS(E$4:E8))),""),"")</f>
        <v/>
      </c>
      <c r="F8" s="31" t="str">
        <f>IFERROR(IF(AND(ROWS(F$4:F8)&lt;=F$1,F$1&lt;&gt;""),INDEX($A$4:$A$99,_xlfn.AGGREGATE(15,3,($B$4:$B$99=F$3)/($B$4:$B$99=F$3)*(ROW($B$4:$B$99))-ROW($A$4)+1,ROWS(F$4:F8))),""),"")</f>
        <v/>
      </c>
      <c r="G8" s="31" t="str">
        <f>IFERROR(IF(AND(ROWS(G$4:G8)&lt;=G$1,G$1&lt;&gt;""),INDEX($A$4:$A$99,_xlfn.AGGREGATE(15,3,($B$4:$B$99=G$3)/($B$4:$B$99=G$3)*(ROW($B$4:$B$99))-ROW($A$4)+1,ROWS(G$4:G8))),""),"")</f>
        <v/>
      </c>
      <c r="H8" s="31" t="str" cm="1">
        <f t="array" ref="H8">IFERROR(_xlfn.SINGLE(IF(AND(ROWS(H$4:H8)&lt;=H$1,H$1&lt;&gt;""),INDEX($A$4:$A$99,_xlfn.AGGREGATE(15,3,($B$4:$B$99=H$3)/($B$4:$B$99=H$3)*(ROW($B$4:$B$99))-ROW($A$4)+1,ROWS(H$4:H8))),"")),"")</f>
        <v/>
      </c>
      <c r="I8" s="31" t="str">
        <f>IFERROR(IF(AND(ROWS(I$4:I8)&lt;=I$1,I$1&lt;&gt;""),INDEX($A$4:$A$99,_xlfn.AGGREGATE(15,3,($B$4:$B$99=I$3)/($B$4:$B$99=I$3)*(ROW($B$4:$B$99))-ROW($A$4)+1,ROWS(I$4:I8))),""),"")</f>
        <v/>
      </c>
      <c r="J8" s="31" t="str">
        <f>IFERROR(IF(AND(ROWS(J$4:J8)&lt;=J$1,J$1&lt;&gt;""),INDEX($A$4:$A$99,_xlfn.AGGREGATE(15,3,($B$4:$B$99=J$3)/($B$4:$B$99=J$3)*(ROW($B$4:$B$99))-ROW($A$4)+1,ROWS(J$4:J8))),""),"")</f>
        <v/>
      </c>
      <c r="K8" s="31" t="str">
        <f>IFERROR(IF(AND(ROWS(K$4:K8)&lt;=K$1,K$1&lt;&gt;""),INDEX($A$4:$A$99,_xlfn.AGGREGATE(15,3,($B$4:$B$99=K$3)/($B$4:$B$99=K$3)*(ROW($B$4:$B$99))-ROW($A$4)+1,ROWS(K$4:K8))),""),"")</f>
        <v/>
      </c>
      <c r="L8" s="36" t="str">
        <f>IFERROR(IF(AND(ROWS(L$4:L8)&lt;=L$1,L$1&lt;&gt;""),INDEX($A$4:$A$99,_xlfn.AGGREGATE(15,3,($B$4:$B$99=L$3)/($B$4:$B$99=L$3)*(ROW($B$4:$B$99))-ROW($A$4)+1,ROWS(L$4:L8))),""),"")</f>
        <v/>
      </c>
    </row>
    <row r="9" spans="1:17" x14ac:dyDescent="0.2">
      <c r="A9" t="str">
        <f>combined!K8</f>
        <v>1F-6</v>
      </c>
      <c r="B9" t="str">
        <f>combined!L8</f>
        <v/>
      </c>
      <c r="D9" s="35" t="str">
        <f>IFERROR(IF(AND(ROWS(D$4:D9)&lt;=D$1,D$1&lt;&gt;""),INDEX($A$4:$A$99,_xlfn.AGGREGATE(15,3,($B$4:$B$99=D$3)/($B$4:$B$99=D$3)*(ROW($B$4:$B$99))-ROW($A$4)+1,ROWS(D$4:D9))),""),"")</f>
        <v/>
      </c>
      <c r="E9" s="31" t="str">
        <f>IFERROR(IF(AND(ROWS(E$4:E9)&lt;=E$1,E$1&lt;&gt;""),INDEX($A$4:$A$99,_xlfn.AGGREGATE(15,3,($B$4:$B$99=E$3)/($B$4:$B$99=E$3)*(ROW($B$4:$B$99))-ROW($A$4)+1,ROWS(E$4:E9))),""),"")</f>
        <v/>
      </c>
      <c r="F9" s="31" t="str">
        <f>IFERROR(IF(AND(ROWS(F$4:F9)&lt;=F$1,F$1&lt;&gt;""),INDEX($A$4:$A$99,_xlfn.AGGREGATE(15,3,($B$4:$B$99=F$3)/($B$4:$B$99=F$3)*(ROW($B$4:$B$99))-ROW($A$4)+1,ROWS(F$4:F9))),""),"")</f>
        <v/>
      </c>
      <c r="G9" s="31" t="str">
        <f>IFERROR(IF(AND(ROWS(G$4:G9)&lt;=G$1,G$1&lt;&gt;""),INDEX($A$4:$A$99,_xlfn.AGGREGATE(15,3,($B$4:$B$99=G$3)/($B$4:$B$99=G$3)*(ROW($B$4:$B$99))-ROW($A$4)+1,ROWS(G$4:G9))),""),"")</f>
        <v/>
      </c>
      <c r="H9" s="31" t="str" cm="1">
        <f t="array" ref="H9">IFERROR(_xlfn.SINGLE(IF(AND(ROWS(H$4:H9)&lt;=H$1,H$1&lt;&gt;""),INDEX($A$4:$A$99,_xlfn.AGGREGATE(15,3,($B$4:$B$99=H$3)/($B$4:$B$99=H$3)*(ROW($B$4:$B$99))-ROW($A$4)+1,ROWS(H$4:H9))),"")),"")</f>
        <v/>
      </c>
      <c r="I9" s="31" t="str">
        <f>IFERROR(IF(AND(ROWS(I$4:I9)&lt;=I$1,I$1&lt;&gt;""),INDEX($A$4:$A$99,_xlfn.AGGREGATE(15,3,($B$4:$B$99=I$3)/($B$4:$B$99=I$3)*(ROW($B$4:$B$99))-ROW($A$4)+1,ROWS(I$4:I9))),""),"")</f>
        <v/>
      </c>
      <c r="J9" s="31" t="str">
        <f>IFERROR(IF(AND(ROWS(J$4:J9)&lt;=J$1,J$1&lt;&gt;""),INDEX($A$4:$A$99,_xlfn.AGGREGATE(15,3,($B$4:$B$99=J$3)/($B$4:$B$99=J$3)*(ROW($B$4:$B$99))-ROW($A$4)+1,ROWS(J$4:J9))),""),"")</f>
        <v/>
      </c>
      <c r="K9" s="31" t="str">
        <f>IFERROR(IF(AND(ROWS(K$4:K9)&lt;=K$1,K$1&lt;&gt;""),INDEX($A$4:$A$99,_xlfn.AGGREGATE(15,3,($B$4:$B$99=K$3)/($B$4:$B$99=K$3)*(ROW($B$4:$B$99))-ROW($A$4)+1,ROWS(K$4:K9))),""),"")</f>
        <v/>
      </c>
      <c r="L9" s="36" t="str">
        <f>IFERROR(IF(AND(ROWS(L$4:L9)&lt;=L$1,L$1&lt;&gt;""),INDEX($A$4:$A$99,_xlfn.AGGREGATE(15,3,($B$4:$B$99=L$3)/($B$4:$B$99=L$3)*(ROW($B$4:$B$99))-ROW($A$4)+1,ROWS(L$4:L9))),""),"")</f>
        <v/>
      </c>
    </row>
    <row r="10" spans="1:17" x14ac:dyDescent="0.2">
      <c r="A10" t="str">
        <f>combined!K9</f>
        <v>1G-7</v>
      </c>
      <c r="B10" t="str">
        <f>combined!L9</f>
        <v/>
      </c>
      <c r="D10" s="35" t="str">
        <f>IFERROR(IF(AND(ROWS(D$4:D10)&lt;=D$1,D$1&lt;&gt;""),INDEX($A$4:$A$99,_xlfn.AGGREGATE(15,3,($B$4:$B$99=D$3)/($B$4:$B$99=D$3)*(ROW($B$4:$B$99))-ROW($A$4)+1,ROWS(D$4:D10))),""),"")</f>
        <v/>
      </c>
      <c r="E10" s="31" t="str">
        <f>IFERROR(IF(AND(ROWS(E$4:E10)&lt;=E$1,E$1&lt;&gt;""),INDEX($A$4:$A$99,_xlfn.AGGREGATE(15,3,($B$4:$B$99=E$3)/($B$4:$B$99=E$3)*(ROW($B$4:$B$99))-ROW($A$4)+1,ROWS(E$4:E10))),""),"")</f>
        <v/>
      </c>
      <c r="F10" s="31" t="str">
        <f>IFERROR(IF(AND(ROWS(F$4:F10)&lt;=F$1,F$1&lt;&gt;""),INDEX($A$4:$A$99,_xlfn.AGGREGATE(15,3,($B$4:$B$99=F$3)/($B$4:$B$99=F$3)*(ROW($B$4:$B$99))-ROW($A$4)+1,ROWS(F$4:F10))),""),"")</f>
        <v/>
      </c>
      <c r="G10" s="31" t="str">
        <f>IFERROR(IF(AND(ROWS(G$4:G10)&lt;=G$1,G$1&lt;&gt;""),INDEX($A$4:$A$99,_xlfn.AGGREGATE(15,3,($B$4:$B$99=G$3)/($B$4:$B$99=G$3)*(ROW($B$4:$B$99))-ROW($A$4)+1,ROWS(G$4:G10))),""),"")</f>
        <v/>
      </c>
      <c r="H10" s="31" t="str" cm="1">
        <f t="array" ref="H10">IFERROR(_xlfn.SINGLE(IF(AND(ROWS(H$4:H10)&lt;=H$1,H$1&lt;&gt;""),INDEX($A$4:$A$99,_xlfn.AGGREGATE(15,3,($B$4:$B$99=H$3)/($B$4:$B$99=H$3)*(ROW($B$4:$B$99))-ROW($A$4)+1,ROWS(H$4:H10))),"")),"")</f>
        <v/>
      </c>
      <c r="I10" s="31" t="str">
        <f>IFERROR(IF(AND(ROWS(I$4:I10)&lt;=I$1,I$1&lt;&gt;""),INDEX($A$4:$A$99,_xlfn.AGGREGATE(15,3,($B$4:$B$99=I$3)/($B$4:$B$99=I$3)*(ROW($B$4:$B$99))-ROW($A$4)+1,ROWS(I$4:I10))),""),"")</f>
        <v/>
      </c>
      <c r="J10" s="31" t="str">
        <f>IFERROR(IF(AND(ROWS(J$4:J10)&lt;=J$1,J$1&lt;&gt;""),INDEX($A$4:$A$99,_xlfn.AGGREGATE(15,3,($B$4:$B$99=J$3)/($B$4:$B$99=J$3)*(ROW($B$4:$B$99))-ROW($A$4)+1,ROWS(J$4:J10))),""),"")</f>
        <v/>
      </c>
      <c r="K10" s="31" t="str">
        <f>IFERROR(IF(AND(ROWS(K$4:K10)&lt;=K$1,K$1&lt;&gt;""),INDEX($A$4:$A$99,_xlfn.AGGREGATE(15,3,($B$4:$B$99=K$3)/($B$4:$B$99=K$3)*(ROW($B$4:$B$99))-ROW($A$4)+1,ROWS(K$4:K10))),""),"")</f>
        <v/>
      </c>
      <c r="L10" s="36" t="str">
        <f>IFERROR(IF(AND(ROWS(L$4:L10)&lt;=L$1,L$1&lt;&gt;""),INDEX($A$4:$A$99,_xlfn.AGGREGATE(15,3,($B$4:$B$99=L$3)/($B$4:$B$99=L$3)*(ROW($B$4:$B$99))-ROW($A$4)+1,ROWS(L$4:L10))),""),"")</f>
        <v/>
      </c>
    </row>
    <row r="11" spans="1:17" x14ac:dyDescent="0.2">
      <c r="A11" t="str">
        <f>combined!K10</f>
        <v>1H-8</v>
      </c>
      <c r="B11" t="str">
        <f>combined!L10</f>
        <v/>
      </c>
      <c r="D11" s="35" t="str">
        <f>IFERROR(IF(AND(ROWS(D$4:D11)&lt;=D$1,D$1&lt;&gt;""),INDEX($A$4:$A$99,_xlfn.AGGREGATE(15,3,($B$4:$B$99=D$3)/($B$4:$B$99=D$3)*(ROW($B$4:$B$99))-ROW($A$4)+1,ROWS(D$4:D11))),""),"")</f>
        <v/>
      </c>
      <c r="E11" s="31" t="str">
        <f>IFERROR(IF(AND(ROWS(E$4:E11)&lt;=E$1,E$1&lt;&gt;""),INDEX($A$4:$A$99,_xlfn.AGGREGATE(15,3,($B$4:$B$99=E$3)/($B$4:$B$99=E$3)*(ROW($B$4:$B$99))-ROW($A$4)+1,ROWS(E$4:E11))),""),"")</f>
        <v/>
      </c>
      <c r="F11" s="31" t="str">
        <f>IFERROR(IF(AND(ROWS(F$4:F11)&lt;=F$1,F$1&lt;&gt;""),INDEX($A$4:$A$99,_xlfn.AGGREGATE(15,3,($B$4:$B$99=F$3)/($B$4:$B$99=F$3)*(ROW($B$4:$B$99))-ROW($A$4)+1,ROWS(F$4:F11))),""),"")</f>
        <v/>
      </c>
      <c r="G11" s="31" t="str">
        <f>IFERROR(IF(AND(ROWS(G$4:G11)&lt;=G$1,G$1&lt;&gt;""),INDEX($A$4:$A$99,_xlfn.AGGREGATE(15,3,($B$4:$B$99=G$3)/($B$4:$B$99=G$3)*(ROW($B$4:$B$99))-ROW($A$4)+1,ROWS(G$4:G11))),""),"")</f>
        <v/>
      </c>
      <c r="H11" s="31" t="str">
        <f>IFERROR(IF(AND(ROWS(H$4:H11)&lt;=H$1,H$1&lt;&gt;""),INDEX($A$4:$A$99,_xlfn.AGGREGATE(15,3,($B$4:$B$99=H$3)/($B$4:$B$99=H$3)*(ROW($B$4:$B$99))-ROW($A$4)+1,ROWS(H$4:H11))),""),"")</f>
        <v/>
      </c>
      <c r="I11" s="31" t="str">
        <f>IFERROR(IF(AND(ROWS(I$4:I11)&lt;=I$1,I$1&lt;&gt;""),INDEX($A$4:$A$99,_xlfn.AGGREGATE(15,3,($B$4:$B$99=I$3)/($B$4:$B$99=I$3)*(ROW($B$4:$B$99))-ROW($A$4)+1,ROWS(I$4:I11))),""),"")</f>
        <v/>
      </c>
      <c r="J11" s="31" t="str">
        <f>IFERROR(IF(AND(ROWS(J$4:J11)&lt;=J$1,J$1&lt;&gt;""),INDEX($A$4:$A$99,_xlfn.AGGREGATE(15,3,($B$4:$B$99=J$3)/($B$4:$B$99=J$3)*(ROW($B$4:$B$99))-ROW($A$4)+1,ROWS(J$4:J11))),""),"")</f>
        <v/>
      </c>
      <c r="K11" s="31" t="str">
        <f>IFERROR(IF(AND(ROWS(K$4:K11)&lt;=K$1,K$1&lt;&gt;""),INDEX($A$4:$A$99,_xlfn.AGGREGATE(15,3,($B$4:$B$99=K$3)/($B$4:$B$99=K$3)*(ROW($B$4:$B$99))-ROW($A$4)+1,ROWS(K$4:K11))),""),"")</f>
        <v/>
      </c>
      <c r="L11" s="36" t="str">
        <f>IFERROR(IF(AND(ROWS(L$4:L11)&lt;=L$1,L$1&lt;&gt;""),INDEX($A$4:$A$99,_xlfn.AGGREGATE(15,3,($B$4:$B$99=L$3)/($B$4:$B$99=L$3)*(ROW($B$4:$B$99))-ROW($A$4)+1,ROWS(L$4:L11))),""),"")</f>
        <v/>
      </c>
    </row>
    <row r="12" spans="1:17" x14ac:dyDescent="0.2">
      <c r="A12" t="str">
        <f>combined!K11</f>
        <v>2A-9</v>
      </c>
      <c r="B12" t="str">
        <f>combined!L11</f>
        <v/>
      </c>
      <c r="D12" s="35" t="str">
        <f>IFERROR(IF(AND(ROWS(D$4:D12)&lt;=D$1,D$1&lt;&gt;""),INDEX($A$4:$A$99,_xlfn.AGGREGATE(15,3,($B$4:$B$99=D$3)/($B$4:$B$99=D$3)*(ROW($B$4:$B$99))-ROW($A$4)+1,ROWS(D$4:D12))),""),"")</f>
        <v/>
      </c>
      <c r="E12" s="31" t="str">
        <f>IFERROR(IF(AND(ROWS(E$4:E12)&lt;=E$1,E$1&lt;&gt;""),INDEX($A$4:$A$99,_xlfn.AGGREGATE(15,3,($B$4:$B$99=E$3)/($B$4:$B$99=E$3)*(ROW($B$4:$B$99))-ROW($A$4)+1,ROWS(E$4:E12))),""),"")</f>
        <v/>
      </c>
      <c r="F12" s="31" t="str">
        <f>IFERROR(IF(AND(ROWS(F$4:F12)&lt;=F$1,F$1&lt;&gt;""),INDEX($A$4:$A$99,_xlfn.AGGREGATE(15,3,($B$4:$B$99=F$3)/($B$4:$B$99=F$3)*(ROW($B$4:$B$99))-ROW($A$4)+1,ROWS(F$4:F12))),""),"")</f>
        <v/>
      </c>
      <c r="G12" s="31" t="str">
        <f>IFERROR(IF(AND(ROWS(G$4:G12)&lt;=G$1,G$1&lt;&gt;""),INDEX($A$4:$A$99,_xlfn.AGGREGATE(15,3,($B$4:$B$99=G$3)/($B$4:$B$99=G$3)*(ROW($B$4:$B$99))-ROW($A$4)+1,ROWS(G$4:G12))),""),"")</f>
        <v/>
      </c>
      <c r="H12" s="31" t="str">
        <f>IFERROR(IF(AND(ROWS(H$4:H12)&lt;=H$1,H$1&lt;&gt;""),INDEX($A$4:$A$99,_xlfn.AGGREGATE(15,3,($B$4:$B$99=H$3)/($B$4:$B$99=H$3)*(ROW($B$4:$B$99))-ROW($A$4)+1,ROWS(H$4:H12))),""),"")</f>
        <v/>
      </c>
      <c r="I12" s="31" t="str">
        <f>IFERROR(IF(AND(ROWS(I$4:I12)&lt;=I$1,I$1&lt;&gt;""),INDEX($A$4:$A$99,_xlfn.AGGREGATE(15,3,($B$4:$B$99=I$3)/($B$4:$B$99=I$3)*(ROW($B$4:$B$99))-ROW($A$4)+1,ROWS(I$4:I12))),""),"")</f>
        <v/>
      </c>
      <c r="J12" s="31" t="str">
        <f>IFERROR(IF(AND(ROWS(J$4:J12)&lt;=J$1,J$1&lt;&gt;""),INDEX($A$4:$A$99,_xlfn.AGGREGATE(15,3,($B$4:$B$99=J$3)/($B$4:$B$99=J$3)*(ROW($B$4:$B$99))-ROW($A$4)+1,ROWS(J$4:J12))),""),"")</f>
        <v/>
      </c>
      <c r="K12" s="31" t="str">
        <f>IFERROR(IF(AND(ROWS(K$4:K12)&lt;=K$1,K$1&lt;&gt;""),INDEX($A$4:$A$99,_xlfn.AGGREGATE(15,3,($B$4:$B$99=K$3)/($B$4:$B$99=K$3)*(ROW($B$4:$B$99))-ROW($A$4)+1,ROWS(K$4:K12))),""),"")</f>
        <v/>
      </c>
      <c r="L12" s="36" t="str">
        <f>IFERROR(IF(AND(ROWS(L$4:L12)&lt;=L$1,L$1&lt;&gt;""),INDEX($A$4:$A$99,_xlfn.AGGREGATE(15,3,($B$4:$B$99=L$3)/($B$4:$B$99=L$3)*(ROW($B$4:$B$99))-ROW($A$4)+1,ROWS(L$4:L12))),""),"")</f>
        <v/>
      </c>
    </row>
    <row r="13" spans="1:17" x14ac:dyDescent="0.2">
      <c r="A13" t="str">
        <f>combined!K12</f>
        <v>2B-10</v>
      </c>
      <c r="B13" t="str">
        <f>combined!L12</f>
        <v/>
      </c>
      <c r="D13" s="35" t="str">
        <f>IFERROR(IF(AND(ROWS(D$4:D13)&lt;=D$1,D$1&lt;&gt;""),INDEX($A$4:$A$99,_xlfn.AGGREGATE(15,3,($B$4:$B$99=D$3)/($B$4:$B$99=D$3)*(ROW($B$4:$B$99))-ROW($A$4)+1,ROWS(D$4:D13))),""),"")</f>
        <v/>
      </c>
      <c r="E13" s="31" t="str">
        <f>IFERROR(IF(AND(ROWS(E$4:E13)&lt;=E$1,E$1&lt;&gt;""),INDEX($A$4:$A$99,_xlfn.AGGREGATE(15,3,($B$4:$B$99=E$3)/($B$4:$B$99=E$3)*(ROW($B$4:$B$99))-ROW($A$4)+1,ROWS(E$4:E13))),""),"")</f>
        <v/>
      </c>
      <c r="F13" s="31" t="str">
        <f>IFERROR(IF(AND(ROWS(F$4:F13)&lt;=F$1,F$1&lt;&gt;""),INDEX($A$4:$A$99,_xlfn.AGGREGATE(15,3,($B$4:$B$99=F$3)/($B$4:$B$99=F$3)*(ROW($B$4:$B$99))-ROW($A$4)+1,ROWS(F$4:F13))),""),"")</f>
        <v/>
      </c>
      <c r="G13" s="31" t="str">
        <f>IFERROR(IF(AND(ROWS(G$4:G13)&lt;=G$1,G$1&lt;&gt;""),INDEX($A$4:$A$99,_xlfn.AGGREGATE(15,3,($B$4:$B$99=G$3)/($B$4:$B$99=G$3)*(ROW($B$4:$B$99))-ROW($A$4)+1,ROWS(G$4:G13))),""),"")</f>
        <v/>
      </c>
      <c r="H13" s="31" t="str">
        <f>IFERROR(IF(AND(ROWS(H$4:H13)&lt;=H$1,H$1&lt;&gt;""),INDEX($A$4:$A$99,_xlfn.AGGREGATE(15,3,($B$4:$B$99=H$3)/($B$4:$B$99=H$3)*(ROW($B$4:$B$99))-ROW($A$4)+1,ROWS(H$4:H13))),""),"")</f>
        <v/>
      </c>
      <c r="I13" s="31" t="str">
        <f>IFERROR(IF(AND(ROWS(I$4:I13)&lt;=I$1,I$1&lt;&gt;""),INDEX($A$4:$A$99,_xlfn.AGGREGATE(15,3,($B$4:$B$99=I$3)/($B$4:$B$99=I$3)*(ROW($B$4:$B$99))-ROW($A$4)+1,ROWS(I$4:I13))),""),"")</f>
        <v/>
      </c>
      <c r="J13" s="31" t="str">
        <f>IFERROR(IF(AND(ROWS(J$4:J13)&lt;=J$1,J$1&lt;&gt;""),INDEX($A$4:$A$99,_xlfn.AGGREGATE(15,3,($B$4:$B$99=J$3)/($B$4:$B$99=J$3)*(ROW($B$4:$B$99))-ROW($A$4)+1,ROWS(J$4:J13))),""),"")</f>
        <v/>
      </c>
      <c r="K13" s="31" t="str">
        <f>IFERROR(IF(AND(ROWS(K$4:K13)&lt;=K$1,K$1&lt;&gt;""),INDEX($A$4:$A$99,_xlfn.AGGREGATE(15,3,($B$4:$B$99=K$3)/($B$4:$B$99=K$3)*(ROW($B$4:$B$99))-ROW($A$4)+1,ROWS(K$4:K13))),""),"")</f>
        <v/>
      </c>
      <c r="L13" s="36" t="str">
        <f>IFERROR(IF(AND(ROWS(L$4:L13)&lt;=L$1,L$1&lt;&gt;""),INDEX($A$4:$A$99,_xlfn.AGGREGATE(15,3,($B$4:$B$99=L$3)/($B$4:$B$99=L$3)*(ROW($B$4:$B$99))-ROW($A$4)+1,ROWS(L$4:L13))),""),"")</f>
        <v/>
      </c>
    </row>
    <row r="14" spans="1:17" x14ac:dyDescent="0.2">
      <c r="A14" t="str">
        <f>combined!K13</f>
        <v>2C-11</v>
      </c>
      <c r="B14" t="str">
        <f>combined!L13</f>
        <v/>
      </c>
      <c r="D14" s="35" t="str">
        <f>IFERROR(IF(AND(ROWS(D$4:D14)&lt;=D$1,D$1&lt;&gt;""),INDEX($A$4:$A$99,_xlfn.AGGREGATE(15,3,($B$4:$B$99=D$3)/($B$4:$B$99=D$3)*(ROW($B$4:$B$99))-ROW($A$4)+1,ROWS(D$4:D14))),""),"")</f>
        <v/>
      </c>
      <c r="E14" s="31" t="str">
        <f>IFERROR(IF(AND(ROWS(E$4:E14)&lt;=E$1,E$1&lt;&gt;""),INDEX($A$4:$A$99,_xlfn.AGGREGATE(15,3,($B$4:$B$99=E$3)/($B$4:$B$99=E$3)*(ROW($B$4:$B$99))-ROW($A$4)+1,ROWS(E$4:E14))),""),"")</f>
        <v/>
      </c>
      <c r="F14" s="31" t="str">
        <f>IFERROR(IF(AND(ROWS(F$4:F14)&lt;=F$1,F$1&lt;&gt;""),INDEX($A$4:$A$99,_xlfn.AGGREGATE(15,3,($B$4:$B$99=F$3)/($B$4:$B$99=F$3)*(ROW($B$4:$B$99))-ROW($A$4)+1,ROWS(F$4:F14))),""),"")</f>
        <v/>
      </c>
      <c r="G14" s="31" t="str">
        <f>IFERROR(IF(AND(ROWS(G$4:G14)&lt;=G$1,G$1&lt;&gt;""),INDEX($A$4:$A$99,_xlfn.AGGREGATE(15,3,($B$4:$B$99=G$3)/($B$4:$B$99=G$3)*(ROW($B$4:$B$99))-ROW($A$4)+1,ROWS(G$4:G14))),""),"")</f>
        <v/>
      </c>
      <c r="H14" s="31" t="str">
        <f>IFERROR(IF(AND(ROWS(H$4:H14)&lt;=H$1,H$1&lt;&gt;""),INDEX($A$4:$A$99,_xlfn.AGGREGATE(15,3,($B$4:$B$99=H$3)/($B$4:$B$99=H$3)*(ROW($B$4:$B$99))-ROW($A$4)+1,ROWS(H$4:H14))),""),"")</f>
        <v/>
      </c>
      <c r="I14" s="31" t="str">
        <f>IFERROR(IF(AND(ROWS(I$4:I14)&lt;=I$1,I$1&lt;&gt;""),INDEX($A$4:$A$99,_xlfn.AGGREGATE(15,3,($B$4:$B$99=I$3)/($B$4:$B$99=I$3)*(ROW($B$4:$B$99))-ROW($A$4)+1,ROWS(I$4:I14))),""),"")</f>
        <v/>
      </c>
      <c r="J14" s="31" t="str">
        <f>IFERROR(IF(AND(ROWS(J$4:J14)&lt;=J$1,J$1&lt;&gt;""),INDEX($A$4:$A$99,_xlfn.AGGREGATE(15,3,($B$4:$B$99=J$3)/($B$4:$B$99=J$3)*(ROW($B$4:$B$99))-ROW($A$4)+1,ROWS(J$4:J14))),""),"")</f>
        <v/>
      </c>
      <c r="K14" s="31" t="str">
        <f>IFERROR(IF(AND(ROWS(K$4:K14)&lt;=K$1,K$1&lt;&gt;""),INDEX($A$4:$A$99,_xlfn.AGGREGATE(15,3,($B$4:$B$99=K$3)/($B$4:$B$99=K$3)*(ROW($B$4:$B$99))-ROW($A$4)+1,ROWS(K$4:K14))),""),"")</f>
        <v/>
      </c>
      <c r="L14" s="36" t="str">
        <f>IFERROR(IF(AND(ROWS(L$4:L14)&lt;=L$1,L$1&lt;&gt;""),INDEX($A$4:$A$99,_xlfn.AGGREGATE(15,3,($B$4:$B$99=L$3)/($B$4:$B$99=L$3)*(ROW($B$4:$B$99))-ROW($A$4)+1,ROWS(L$4:L14))),""),"")</f>
        <v/>
      </c>
    </row>
    <row r="15" spans="1:17" x14ac:dyDescent="0.2">
      <c r="A15" t="str">
        <f>combined!K14</f>
        <v>2D-12</v>
      </c>
      <c r="B15" t="str">
        <f>combined!L14</f>
        <v/>
      </c>
      <c r="D15" s="35" t="str">
        <f>IFERROR(IF(AND(ROWS(D$4:D15)&lt;=D$1,D$1&lt;&gt;""),INDEX($A$4:$A$99,_xlfn.AGGREGATE(15,3,($B$4:$B$99=D$3)/($B$4:$B$99=D$3)*(ROW($B$4:$B$99))-ROW($A$4)+1,ROWS(D$4:D15))),""),"")</f>
        <v/>
      </c>
      <c r="E15" s="31" t="str">
        <f>IFERROR(IF(AND(ROWS(E$4:E15)&lt;=E$1,E$1&lt;&gt;""),INDEX($A$4:$A$99,_xlfn.AGGREGATE(15,3,($B$4:$B$99=E$3)/($B$4:$B$99=E$3)*(ROW($B$4:$B$99))-ROW($A$4)+1,ROWS(E$4:E15))),""),"")</f>
        <v/>
      </c>
      <c r="F15" s="31" t="str">
        <f>IFERROR(IF(AND(ROWS(F$4:F15)&lt;=F$1,F$1&lt;&gt;""),INDEX($A$4:$A$99,_xlfn.AGGREGATE(15,3,($B$4:$B$99=F$3)/($B$4:$B$99=F$3)*(ROW($B$4:$B$99))-ROW($A$4)+1,ROWS(F$4:F15))),""),"")</f>
        <v/>
      </c>
      <c r="G15" s="31" t="str">
        <f>IFERROR(IF(AND(ROWS(G$4:G15)&lt;=G$1,G$1&lt;&gt;""),INDEX($A$4:$A$99,_xlfn.AGGREGATE(15,3,($B$4:$B$99=G$3)/($B$4:$B$99=G$3)*(ROW($B$4:$B$99))-ROW($A$4)+1,ROWS(G$4:G15))),""),"")</f>
        <v/>
      </c>
      <c r="H15" s="31" t="str">
        <f>IFERROR(IF(AND(ROWS(H$4:H15)&lt;=H$1,H$1&lt;&gt;""),INDEX($A$4:$A$99,_xlfn.AGGREGATE(15,3,($B$4:$B$99=H$3)/($B$4:$B$99=H$3)*(ROW($B$4:$B$99))-ROW($A$4)+1,ROWS(H$4:H15))),""),"")</f>
        <v/>
      </c>
      <c r="I15" s="31" t="str">
        <f>IFERROR(IF(AND(ROWS(I$4:I15)&lt;=I$1,I$1&lt;&gt;""),INDEX($A$4:$A$99,_xlfn.AGGREGATE(15,3,($B$4:$B$99=I$3)/($B$4:$B$99=I$3)*(ROW($B$4:$B$99))-ROW($A$4)+1,ROWS(I$4:I15))),""),"")</f>
        <v/>
      </c>
      <c r="J15" s="31" t="str">
        <f>IFERROR(IF(AND(ROWS(J$4:J15)&lt;=J$1,J$1&lt;&gt;""),INDEX($A$4:$A$99,_xlfn.AGGREGATE(15,3,($B$4:$B$99=J$3)/($B$4:$B$99=J$3)*(ROW($B$4:$B$99))-ROW($A$4)+1,ROWS(J$4:J15))),""),"")</f>
        <v/>
      </c>
      <c r="K15" s="31" t="str">
        <f>IFERROR(IF(AND(ROWS(K$4:K15)&lt;=K$1,K$1&lt;&gt;""),INDEX($A$4:$A$99,_xlfn.AGGREGATE(15,3,($B$4:$B$99=K$3)/($B$4:$B$99=K$3)*(ROW($B$4:$B$99))-ROW($A$4)+1,ROWS(K$4:K15))),""),"")</f>
        <v/>
      </c>
      <c r="L15" s="36" t="str">
        <f>IFERROR(IF(AND(ROWS(L$4:L15)&lt;=L$1,L$1&lt;&gt;""),INDEX($A$4:$A$99,_xlfn.AGGREGATE(15,3,($B$4:$B$99=L$3)/($B$4:$B$99=L$3)*(ROW($B$4:$B$99))-ROW($A$4)+1,ROWS(L$4:L15))),""),"")</f>
        <v/>
      </c>
    </row>
    <row r="16" spans="1:17" x14ac:dyDescent="0.2">
      <c r="A16" t="str">
        <f>combined!K15</f>
        <v>2E-13</v>
      </c>
      <c r="B16" t="str">
        <f>combined!L15</f>
        <v/>
      </c>
      <c r="D16" s="35" t="str">
        <f>IFERROR(IF(AND(ROWS(D$4:D16)&lt;=D$1,D$1&lt;&gt;""),INDEX($A$4:$A$99,_xlfn.AGGREGATE(15,3,($B$4:$B$99=D$3)/($B$4:$B$99=D$3)*(ROW($B$4:$B$99))-ROW($A$4)+1,ROWS(D$4:D16))),""),"")</f>
        <v/>
      </c>
      <c r="E16" s="31" t="str">
        <f>IFERROR(IF(AND(ROWS(E$4:E16)&lt;=E$1,E$1&lt;&gt;""),INDEX($A$4:$A$99,_xlfn.AGGREGATE(15,3,($B$4:$B$99=E$3)/($B$4:$B$99=E$3)*(ROW($B$4:$B$99))-ROW($A$4)+1,ROWS(E$4:E16))),""),"")</f>
        <v/>
      </c>
      <c r="F16" s="31" t="str">
        <f>IFERROR(IF(AND(ROWS(F$4:F16)&lt;=F$1,F$1&lt;&gt;""),INDEX($A$4:$A$99,_xlfn.AGGREGATE(15,3,($B$4:$B$99=F$3)/($B$4:$B$99=F$3)*(ROW($B$4:$B$99))-ROW($A$4)+1,ROWS(F$4:F16))),""),"")</f>
        <v/>
      </c>
      <c r="G16" s="31" t="str">
        <f>IFERROR(IF(AND(ROWS(G$4:G16)&lt;=G$1,G$1&lt;&gt;""),INDEX($A$4:$A$99,_xlfn.AGGREGATE(15,3,($B$4:$B$99=G$3)/($B$4:$B$99=G$3)*(ROW($B$4:$B$99))-ROW($A$4)+1,ROWS(G$4:G16))),""),"")</f>
        <v/>
      </c>
      <c r="H16" s="31" t="str">
        <f>IFERROR(IF(AND(ROWS(H$4:H16)&lt;=H$1,H$1&lt;&gt;""),INDEX($A$4:$A$99,_xlfn.AGGREGATE(15,3,($B$4:$B$99=H$3)/($B$4:$B$99=H$3)*(ROW($B$4:$B$99))-ROW($A$4)+1,ROWS(H$4:H16))),""),"")</f>
        <v/>
      </c>
      <c r="I16" s="31" t="str">
        <f>IFERROR(IF(AND(ROWS(I$4:I16)&lt;=I$1,I$1&lt;&gt;""),INDEX($A$4:$A$99,_xlfn.AGGREGATE(15,3,($B$4:$B$99=I$3)/($B$4:$B$99=I$3)*(ROW($B$4:$B$99))-ROW($A$4)+1,ROWS(I$4:I16))),""),"")</f>
        <v/>
      </c>
      <c r="J16" s="31" t="str">
        <f>IFERROR(IF(AND(ROWS(J$4:J16)&lt;=J$1,J$1&lt;&gt;""),INDEX($A$4:$A$99,_xlfn.AGGREGATE(15,3,($B$4:$B$99=J$3)/($B$4:$B$99=J$3)*(ROW($B$4:$B$99))-ROW($A$4)+1,ROWS(J$4:J16))),""),"")</f>
        <v/>
      </c>
      <c r="K16" s="31" t="str">
        <f>IFERROR(IF(AND(ROWS(K$4:K16)&lt;=K$1,K$1&lt;&gt;""),INDEX($A$4:$A$99,_xlfn.AGGREGATE(15,3,($B$4:$B$99=K$3)/($B$4:$B$99=K$3)*(ROW($B$4:$B$99))-ROW($A$4)+1,ROWS(K$4:K16))),""),"")</f>
        <v/>
      </c>
      <c r="L16" s="36" t="str">
        <f>IFERROR(IF(AND(ROWS(L$4:L16)&lt;=L$1,L$1&lt;&gt;""),INDEX($A$4:$A$99,_xlfn.AGGREGATE(15,3,($B$4:$B$99=L$3)/($B$4:$B$99=L$3)*(ROW($B$4:$B$99))-ROW($A$4)+1,ROWS(L$4:L16))),""),"")</f>
        <v/>
      </c>
    </row>
    <row r="17" spans="1:12" x14ac:dyDescent="0.2">
      <c r="A17" t="str">
        <f>combined!K16</f>
        <v>2F-14</v>
      </c>
      <c r="B17" t="str">
        <f>combined!L16</f>
        <v/>
      </c>
      <c r="D17" s="35" t="str">
        <f>IFERROR(IF(AND(ROWS(D$4:D17)&lt;=D$1,D$1&lt;&gt;""),INDEX($A$4:$A$99,_xlfn.AGGREGATE(15,3,($B$4:$B$99=D$3)/($B$4:$B$99=D$3)*(ROW($B$4:$B$99))-ROW($A$4)+1,ROWS(D$4:D17))),""),"")</f>
        <v/>
      </c>
      <c r="E17" s="31" t="str">
        <f>IFERROR(IF(AND(ROWS(E$4:E17)&lt;=E$1,E$1&lt;&gt;""),INDEX($A$4:$A$99,_xlfn.AGGREGATE(15,3,($B$4:$B$99=E$3)/($B$4:$B$99=E$3)*(ROW($B$4:$B$99))-ROW($A$4)+1,ROWS(E$4:E17))),""),"")</f>
        <v/>
      </c>
      <c r="F17" s="31" t="str">
        <f>IFERROR(IF(AND(ROWS(F$4:F17)&lt;=F$1,F$1&lt;&gt;""),INDEX($A$4:$A$99,_xlfn.AGGREGATE(15,3,($B$4:$B$99=F$3)/($B$4:$B$99=F$3)*(ROW($B$4:$B$99))-ROW($A$4)+1,ROWS(F$4:F17))),""),"")</f>
        <v/>
      </c>
      <c r="G17" s="31" t="str">
        <f>IFERROR(IF(AND(ROWS(G$4:G17)&lt;=G$1,G$1&lt;&gt;""),INDEX($A$4:$A$99,_xlfn.AGGREGATE(15,3,($B$4:$B$99=G$3)/($B$4:$B$99=G$3)*(ROW($B$4:$B$99))-ROW($A$4)+1,ROWS(G$4:G17))),""),"")</f>
        <v/>
      </c>
      <c r="H17" s="31" t="str">
        <f>IFERROR(IF(AND(ROWS(H$4:H17)&lt;=H$1,H$1&lt;&gt;""),INDEX($A$4:$A$99,_xlfn.AGGREGATE(15,3,($B$4:$B$99=H$3)/($B$4:$B$99=H$3)*(ROW($B$4:$B$99))-ROW($A$4)+1,ROWS(H$4:H17))),""),"")</f>
        <v/>
      </c>
      <c r="I17" s="31" t="str">
        <f>IFERROR(IF(AND(ROWS(I$4:I17)&lt;=I$1,I$1&lt;&gt;""),INDEX($A$4:$A$99,_xlfn.AGGREGATE(15,3,($B$4:$B$99=I$3)/($B$4:$B$99=I$3)*(ROW($B$4:$B$99))-ROW($A$4)+1,ROWS(I$4:I17))),""),"")</f>
        <v/>
      </c>
      <c r="J17" s="31" t="str">
        <f>IFERROR(IF(AND(ROWS(J$4:J17)&lt;=J$1,J$1&lt;&gt;""),INDEX($A$4:$A$99,_xlfn.AGGREGATE(15,3,($B$4:$B$99=J$3)/($B$4:$B$99=J$3)*(ROW($B$4:$B$99))-ROW($A$4)+1,ROWS(J$4:J17))),""),"")</f>
        <v/>
      </c>
      <c r="K17" s="31" t="str">
        <f>IFERROR(IF(AND(ROWS(K$4:K17)&lt;=K$1,K$1&lt;&gt;""),INDEX($A$4:$A$99,_xlfn.AGGREGATE(15,3,($B$4:$B$99=K$3)/($B$4:$B$99=K$3)*(ROW($B$4:$B$99))-ROW($A$4)+1,ROWS(K$4:K17))),""),"")</f>
        <v/>
      </c>
      <c r="L17" s="36" t="str">
        <f>IFERROR(IF(AND(ROWS(L$4:L17)&lt;=L$1,L$1&lt;&gt;""),INDEX($A$4:$A$99,_xlfn.AGGREGATE(15,3,($B$4:$B$99=L$3)/($B$4:$B$99=L$3)*(ROW($B$4:$B$99))-ROW($A$4)+1,ROWS(L$4:L17))),""),"")</f>
        <v/>
      </c>
    </row>
    <row r="18" spans="1:12" x14ac:dyDescent="0.2">
      <c r="A18" t="str">
        <f>combined!K17</f>
        <v>2G-15</v>
      </c>
      <c r="B18" t="str">
        <f>combined!L17</f>
        <v/>
      </c>
      <c r="D18" s="35" t="str">
        <f>IFERROR(IF(AND(ROWS(D$4:D18)&lt;=D$1,D$1&lt;&gt;""),INDEX($A$4:$A$99,_xlfn.AGGREGATE(15,3,($B$4:$B$99=D$3)/($B$4:$B$99=D$3)*(ROW($B$4:$B$99))-ROW($A$4)+1,ROWS(D$4:D18))),""),"")</f>
        <v/>
      </c>
      <c r="E18" s="31" t="str">
        <f>IFERROR(IF(AND(ROWS(E$4:E18)&lt;=E$1,E$1&lt;&gt;""),INDEX($A$4:$A$99,_xlfn.AGGREGATE(15,3,($B$4:$B$99=E$3)/($B$4:$B$99=E$3)*(ROW($B$4:$B$99))-ROW($A$4)+1,ROWS(E$4:E18))),""),"")</f>
        <v/>
      </c>
      <c r="F18" s="31" t="str">
        <f>IFERROR(IF(AND(ROWS(F$4:F18)&lt;=F$1,F$1&lt;&gt;""),INDEX($A$4:$A$99,_xlfn.AGGREGATE(15,3,($B$4:$B$99=F$3)/($B$4:$B$99=F$3)*(ROW($B$4:$B$99))-ROW($A$4)+1,ROWS(F$4:F18))),""),"")</f>
        <v/>
      </c>
      <c r="G18" s="31" t="str">
        <f>IFERROR(IF(AND(ROWS(G$4:G18)&lt;=G$1,G$1&lt;&gt;""),INDEX($A$4:$A$99,_xlfn.AGGREGATE(15,3,($B$4:$B$99=G$3)/($B$4:$B$99=G$3)*(ROW($B$4:$B$99))-ROW($A$4)+1,ROWS(G$4:G18))),""),"")</f>
        <v/>
      </c>
      <c r="H18" s="31" t="str">
        <f>IFERROR(IF(AND(ROWS(H$4:H18)&lt;=H$1,H$1&lt;&gt;""),INDEX($A$4:$A$99,_xlfn.AGGREGATE(15,3,($B$4:$B$99=H$3)/($B$4:$B$99=H$3)*(ROW($B$4:$B$99))-ROW($A$4)+1,ROWS(H$4:H18))),""),"")</f>
        <v/>
      </c>
      <c r="I18" s="31" t="str">
        <f>IFERROR(IF(AND(ROWS(I$4:I18)&lt;=I$1,I$1&lt;&gt;""),INDEX($A$4:$A$99,_xlfn.AGGREGATE(15,3,($B$4:$B$99=I$3)/($B$4:$B$99=I$3)*(ROW($B$4:$B$99))-ROW($A$4)+1,ROWS(I$4:I18))),""),"")</f>
        <v/>
      </c>
      <c r="J18" s="31" t="str">
        <f>IFERROR(IF(AND(ROWS(J$4:J18)&lt;=J$1,J$1&lt;&gt;""),INDEX($A$4:$A$99,_xlfn.AGGREGATE(15,3,($B$4:$B$99=J$3)/($B$4:$B$99=J$3)*(ROW($B$4:$B$99))-ROW($A$4)+1,ROWS(J$4:J18))),""),"")</f>
        <v/>
      </c>
      <c r="K18" s="31" t="str">
        <f>IFERROR(IF(AND(ROWS(K$4:K18)&lt;=K$1,K$1&lt;&gt;""),INDEX($A$4:$A$99,_xlfn.AGGREGATE(15,3,($B$4:$B$99=K$3)/($B$4:$B$99=K$3)*(ROW($B$4:$B$99))-ROW($A$4)+1,ROWS(K$4:K18))),""),"")</f>
        <v/>
      </c>
      <c r="L18" s="36" t="str">
        <f>IFERROR(IF(AND(ROWS(L$4:L18)&lt;=L$1,L$1&lt;&gt;""),INDEX($A$4:$A$99,_xlfn.AGGREGATE(15,3,($B$4:$B$99=L$3)/($B$4:$B$99=L$3)*(ROW($B$4:$B$99))-ROW($A$4)+1,ROWS(L$4:L18))),""),"")</f>
        <v/>
      </c>
    </row>
    <row r="19" spans="1:12" x14ac:dyDescent="0.2">
      <c r="A19" t="str">
        <f>combined!K18</f>
        <v>2H-16</v>
      </c>
      <c r="B19" t="str">
        <f>combined!L18</f>
        <v/>
      </c>
      <c r="D19" s="35" t="str">
        <f>IFERROR(IF(AND(ROWS(D$4:D19)&lt;=D$1,D$1&lt;&gt;""),INDEX($A$4:$A$99,_xlfn.AGGREGATE(15,3,($B$4:$B$99=D$3)/($B$4:$B$99=D$3)*(ROW($B$4:$B$99))-ROW($A$4)+1,ROWS(D$4:D19))),""),"")</f>
        <v/>
      </c>
      <c r="E19" s="31" t="str">
        <f>IFERROR(IF(AND(ROWS(E$4:E19)&lt;=E$1,E$1&lt;&gt;""),INDEX($A$4:$A$99,_xlfn.AGGREGATE(15,3,($B$4:$B$99=E$3)/($B$4:$B$99=E$3)*(ROW($B$4:$B$99))-ROW($A$4)+1,ROWS(E$4:E19))),""),"")</f>
        <v/>
      </c>
      <c r="F19" s="31" t="str">
        <f>IFERROR(IF(AND(ROWS(F$4:F19)&lt;=F$1,F$1&lt;&gt;""),INDEX($A$4:$A$99,_xlfn.AGGREGATE(15,3,($B$4:$B$99=F$3)/($B$4:$B$99=F$3)*(ROW($B$4:$B$99))-ROW($A$4)+1,ROWS(F$4:F19))),""),"")</f>
        <v/>
      </c>
      <c r="G19" s="31" t="str">
        <f>IFERROR(IF(AND(ROWS(G$4:G19)&lt;=G$1,G$1&lt;&gt;""),INDEX($A$4:$A$99,_xlfn.AGGREGATE(15,3,($B$4:$B$99=G$3)/($B$4:$B$99=G$3)*(ROW($B$4:$B$99))-ROW($A$4)+1,ROWS(G$4:G19))),""),"")</f>
        <v/>
      </c>
      <c r="H19" s="31" t="str">
        <f>IFERROR(IF(AND(ROWS(H$4:H19)&lt;=H$1,H$1&lt;&gt;""),INDEX($A$4:$A$99,_xlfn.AGGREGATE(15,3,($B$4:$B$99=H$3)/($B$4:$B$99=H$3)*(ROW($B$4:$B$99))-ROW($A$4)+1,ROWS(H$4:H19))),""),"")</f>
        <v/>
      </c>
      <c r="I19" s="31" t="str">
        <f>IFERROR(IF(AND(ROWS(I$4:I19)&lt;=I$1,I$1&lt;&gt;""),INDEX($A$4:$A$99,_xlfn.AGGREGATE(15,3,($B$4:$B$99=I$3)/($B$4:$B$99=I$3)*(ROW($B$4:$B$99))-ROW($A$4)+1,ROWS(I$4:I19))),""),"")</f>
        <v/>
      </c>
      <c r="J19" s="31" t="str">
        <f>IFERROR(IF(AND(ROWS(J$4:J19)&lt;=J$1,J$1&lt;&gt;""),INDEX($A$4:$A$99,_xlfn.AGGREGATE(15,3,($B$4:$B$99=J$3)/($B$4:$B$99=J$3)*(ROW($B$4:$B$99))-ROW($A$4)+1,ROWS(J$4:J19))),""),"")</f>
        <v/>
      </c>
      <c r="K19" s="31" t="str">
        <f>IFERROR(IF(AND(ROWS(K$4:K19)&lt;=K$1,K$1&lt;&gt;""),INDEX($A$4:$A$99,_xlfn.AGGREGATE(15,3,($B$4:$B$99=K$3)/($B$4:$B$99=K$3)*(ROW($B$4:$B$99))-ROW($A$4)+1,ROWS(K$4:K19))),""),"")</f>
        <v/>
      </c>
      <c r="L19" s="36" t="str">
        <f>IFERROR(IF(AND(ROWS(L$4:L19)&lt;=L$1,L$1&lt;&gt;""),INDEX($A$4:$A$99,_xlfn.AGGREGATE(15,3,($B$4:$B$99=L$3)/($B$4:$B$99=L$3)*(ROW($B$4:$B$99))-ROW($A$4)+1,ROWS(L$4:L19))),""),"")</f>
        <v/>
      </c>
    </row>
    <row r="20" spans="1:12" x14ac:dyDescent="0.2">
      <c r="A20" t="str">
        <f>combined!K19</f>
        <v>3A-17</v>
      </c>
      <c r="B20" t="str">
        <f>combined!L19</f>
        <v/>
      </c>
      <c r="D20" s="35" t="str">
        <f>IFERROR(IF(AND(ROWS(D$4:D20)&lt;=D$1,D$1&lt;&gt;""),INDEX($A$4:$A$99,_xlfn.AGGREGATE(15,3,($B$4:$B$99=D$3)/($B$4:$B$99=D$3)*(ROW($B$4:$B$99))-ROW($A$4)+1,ROWS(D$4:D20))),""),"")</f>
        <v/>
      </c>
      <c r="E20" s="31" t="str">
        <f>IFERROR(IF(AND(ROWS(E$4:E20)&lt;=E$1,E$1&lt;&gt;""),INDEX($A$4:$A$99,_xlfn.AGGREGATE(15,3,($B$4:$B$99=E$3)/($B$4:$B$99=E$3)*(ROW($B$4:$B$99))-ROW($A$4)+1,ROWS(E$4:E20))),""),"")</f>
        <v/>
      </c>
      <c r="F20" s="31" t="str">
        <f>IFERROR(IF(AND(ROWS(F$4:F20)&lt;=F$1,F$1&lt;&gt;""),INDEX($A$4:$A$99,_xlfn.AGGREGATE(15,3,($B$4:$B$99=F$3)/($B$4:$B$99=F$3)*(ROW($B$4:$B$99))-ROW($A$4)+1,ROWS(F$4:F20))),""),"")</f>
        <v/>
      </c>
      <c r="G20" s="31" t="str">
        <f>IFERROR(IF(AND(ROWS(G$4:G20)&lt;=G$1,G$1&lt;&gt;""),INDEX($A$4:$A$99,_xlfn.AGGREGATE(15,3,($B$4:$B$99=G$3)/($B$4:$B$99=G$3)*(ROW($B$4:$B$99))-ROW($A$4)+1,ROWS(G$4:G20))),""),"")</f>
        <v/>
      </c>
      <c r="H20" s="31" t="str">
        <f>IFERROR(IF(AND(ROWS(H$4:H20)&lt;=H$1,H$1&lt;&gt;""),INDEX($A$4:$A$99,_xlfn.AGGREGATE(15,3,($B$4:$B$99=H$3)/($B$4:$B$99=H$3)*(ROW($B$4:$B$99))-ROW($A$4)+1,ROWS(H$4:H20))),""),"")</f>
        <v/>
      </c>
      <c r="I20" s="31" t="str">
        <f>IFERROR(IF(AND(ROWS(I$4:I20)&lt;=I$1,I$1&lt;&gt;""),INDEX($A$4:$A$99,_xlfn.AGGREGATE(15,3,($B$4:$B$99=I$3)/($B$4:$B$99=I$3)*(ROW($B$4:$B$99))-ROW($A$4)+1,ROWS(I$4:I20))),""),"")</f>
        <v/>
      </c>
      <c r="J20" s="31" t="str">
        <f>IFERROR(IF(AND(ROWS(J$4:J20)&lt;=J$1,J$1&lt;&gt;""),INDEX($A$4:$A$99,_xlfn.AGGREGATE(15,3,($B$4:$B$99=J$3)/($B$4:$B$99=J$3)*(ROW($B$4:$B$99))-ROW($A$4)+1,ROWS(J$4:J20))),""),"")</f>
        <v/>
      </c>
      <c r="K20" s="31" t="str">
        <f>IFERROR(IF(AND(ROWS(K$4:K20)&lt;=K$1,K$1&lt;&gt;""),INDEX($A$4:$A$99,_xlfn.AGGREGATE(15,3,($B$4:$B$99=K$3)/($B$4:$B$99=K$3)*(ROW($B$4:$B$99))-ROW($A$4)+1,ROWS(K$4:K20))),""),"")</f>
        <v/>
      </c>
      <c r="L20" s="36" t="str">
        <f>IFERROR(IF(AND(ROWS(L$4:L20)&lt;=L$1,L$1&lt;&gt;""),INDEX($A$4:$A$99,_xlfn.AGGREGATE(15,3,($B$4:$B$99=L$3)/($B$4:$B$99=L$3)*(ROW($B$4:$B$99))-ROW($A$4)+1,ROWS(L$4:L20))),""),"")</f>
        <v/>
      </c>
    </row>
    <row r="21" spans="1:12" x14ac:dyDescent="0.2">
      <c r="A21" t="str">
        <f>combined!K20</f>
        <v>3B-18</v>
      </c>
      <c r="B21" t="str">
        <f>combined!L20</f>
        <v/>
      </c>
      <c r="D21" s="35" t="str">
        <f>IFERROR(IF(AND(ROWS(D$4:D21)&lt;=D$1,D$1&lt;&gt;""),INDEX($A$4:$A$99,_xlfn.AGGREGATE(15,3,($B$4:$B$99=D$3)/($B$4:$B$99=D$3)*(ROW($B$4:$B$99))-ROW($A$4)+1,ROWS(D$4:D21))),""),"")</f>
        <v/>
      </c>
      <c r="E21" s="31" t="str">
        <f>IFERROR(IF(AND(ROWS(E$4:E21)&lt;=E$1,E$1&lt;&gt;""),INDEX($A$4:$A$99,_xlfn.AGGREGATE(15,3,($B$4:$B$99=E$3)/($B$4:$B$99=E$3)*(ROW($B$4:$B$99))-ROW($A$4)+1,ROWS(E$4:E21))),""),"")</f>
        <v/>
      </c>
      <c r="F21" s="31" t="str">
        <f>IFERROR(IF(AND(ROWS(F$4:F21)&lt;=F$1,F$1&lt;&gt;""),INDEX($A$4:$A$99,_xlfn.AGGREGATE(15,3,($B$4:$B$99=F$3)/($B$4:$B$99=F$3)*(ROW($B$4:$B$99))-ROW($A$4)+1,ROWS(F$4:F21))),""),"")</f>
        <v/>
      </c>
      <c r="G21" s="31" t="str">
        <f>IFERROR(IF(AND(ROWS(G$4:G21)&lt;=G$1,G$1&lt;&gt;""),INDEX($A$4:$A$99,_xlfn.AGGREGATE(15,3,($B$4:$B$99=G$3)/($B$4:$B$99=G$3)*(ROW($B$4:$B$99))-ROW($A$4)+1,ROWS(G$4:G21))),""),"")</f>
        <v/>
      </c>
      <c r="H21" s="31" t="str">
        <f>IFERROR(IF(AND(ROWS(H$4:H21)&lt;=H$1,H$1&lt;&gt;""),INDEX($A$4:$A$99,_xlfn.AGGREGATE(15,3,($B$4:$B$99=H$3)/($B$4:$B$99=H$3)*(ROW($B$4:$B$99))-ROW($A$4)+1,ROWS(H$4:H21))),""),"")</f>
        <v/>
      </c>
      <c r="I21" s="31" t="str">
        <f>IFERROR(IF(AND(ROWS(I$4:I21)&lt;=I$1,I$1&lt;&gt;""),INDEX($A$4:$A$99,_xlfn.AGGREGATE(15,3,($B$4:$B$99=I$3)/($B$4:$B$99=I$3)*(ROW($B$4:$B$99))-ROW($A$4)+1,ROWS(I$4:I21))),""),"")</f>
        <v/>
      </c>
      <c r="J21" s="31" t="str">
        <f>IFERROR(IF(AND(ROWS(J$4:J21)&lt;=J$1,J$1&lt;&gt;""),INDEX($A$4:$A$99,_xlfn.AGGREGATE(15,3,($B$4:$B$99=J$3)/($B$4:$B$99=J$3)*(ROW($B$4:$B$99))-ROW($A$4)+1,ROWS(J$4:J21))),""),"")</f>
        <v/>
      </c>
      <c r="K21" s="31" t="str">
        <f>IFERROR(IF(AND(ROWS(K$4:K21)&lt;=K$1,K$1&lt;&gt;""),INDEX($A$4:$A$99,_xlfn.AGGREGATE(15,3,($B$4:$B$99=K$3)/($B$4:$B$99=K$3)*(ROW($B$4:$B$99))-ROW($A$4)+1,ROWS(K$4:K21))),""),"")</f>
        <v/>
      </c>
      <c r="L21" s="36" t="str">
        <f>IFERROR(IF(AND(ROWS(L$4:L21)&lt;=L$1,L$1&lt;&gt;""),INDEX($A$4:$A$99,_xlfn.AGGREGATE(15,3,($B$4:$B$99=L$3)/($B$4:$B$99=L$3)*(ROW($B$4:$B$99))-ROW($A$4)+1,ROWS(L$4:L21))),""),"")</f>
        <v/>
      </c>
    </row>
    <row r="22" spans="1:12" x14ac:dyDescent="0.2">
      <c r="A22" t="str">
        <f>combined!K21</f>
        <v>3C-19</v>
      </c>
      <c r="B22" t="str">
        <f>combined!L21</f>
        <v/>
      </c>
      <c r="D22" s="35" t="str">
        <f>IFERROR(IF(AND(ROWS(D$4:D22)&lt;=D$1,D$1&lt;&gt;""),INDEX($A$4:$A$99,_xlfn.AGGREGATE(15,3,($B$4:$B$99=D$3)/($B$4:$B$99=D$3)*(ROW($B$4:$B$99))-ROW($A$4)+1,ROWS(D$4:D22))),""),"")</f>
        <v/>
      </c>
      <c r="E22" s="31" t="str">
        <f>IFERROR(IF(AND(ROWS(E$4:E22)&lt;=E$1,E$1&lt;&gt;""),INDEX($A$4:$A$99,_xlfn.AGGREGATE(15,3,($B$4:$B$99=E$3)/($B$4:$B$99=E$3)*(ROW($B$4:$B$99))-ROW($A$4)+1,ROWS(E$4:E22))),""),"")</f>
        <v/>
      </c>
      <c r="F22" s="31" t="str">
        <f>IFERROR(IF(AND(ROWS(F$4:F22)&lt;=F$1,F$1&lt;&gt;""),INDEX($A$4:$A$99,_xlfn.AGGREGATE(15,3,($B$4:$B$99=F$3)/($B$4:$B$99=F$3)*(ROW($B$4:$B$99))-ROW($A$4)+1,ROWS(F$4:F22))),""),"")</f>
        <v/>
      </c>
      <c r="G22" s="31" t="str">
        <f>IFERROR(IF(AND(ROWS(G$4:G22)&lt;=G$1,G$1&lt;&gt;""),INDEX($A$4:$A$99,_xlfn.AGGREGATE(15,3,($B$4:$B$99=G$3)/($B$4:$B$99=G$3)*(ROW($B$4:$B$99))-ROW($A$4)+1,ROWS(G$4:G22))),""),"")</f>
        <v/>
      </c>
      <c r="H22" s="31" t="str">
        <f>IFERROR(IF(AND(ROWS(H$4:H22)&lt;=H$1,H$1&lt;&gt;""),INDEX($A$4:$A$99,_xlfn.AGGREGATE(15,3,($B$4:$B$99=H$3)/($B$4:$B$99=H$3)*(ROW($B$4:$B$99))-ROW($A$4)+1,ROWS(H$4:H22))),""),"")</f>
        <v/>
      </c>
      <c r="I22" s="31" t="str">
        <f>IFERROR(IF(AND(ROWS(I$4:I22)&lt;=I$1,I$1&lt;&gt;""),INDEX($A$4:$A$99,_xlfn.AGGREGATE(15,3,($B$4:$B$99=I$3)/($B$4:$B$99=I$3)*(ROW($B$4:$B$99))-ROW($A$4)+1,ROWS(I$4:I22))),""),"")</f>
        <v/>
      </c>
      <c r="J22" s="31" t="str">
        <f>IFERROR(IF(AND(ROWS(J$4:J22)&lt;=J$1,J$1&lt;&gt;""),INDEX($A$4:$A$99,_xlfn.AGGREGATE(15,3,($B$4:$B$99=J$3)/($B$4:$B$99=J$3)*(ROW($B$4:$B$99))-ROW($A$4)+1,ROWS(J$4:J22))),""),"")</f>
        <v/>
      </c>
      <c r="K22" s="31" t="str">
        <f>IFERROR(IF(AND(ROWS(K$4:K22)&lt;=K$1,K$1&lt;&gt;""),INDEX($A$4:$A$99,_xlfn.AGGREGATE(15,3,($B$4:$B$99=K$3)/($B$4:$B$99=K$3)*(ROW($B$4:$B$99))-ROW($A$4)+1,ROWS(K$4:K22))),""),"")</f>
        <v/>
      </c>
      <c r="L22" s="36" t="str">
        <f>IFERROR(IF(AND(ROWS(L$4:L22)&lt;=L$1,L$1&lt;&gt;""),INDEX($A$4:$A$99,_xlfn.AGGREGATE(15,3,($B$4:$B$99=L$3)/($B$4:$B$99=L$3)*(ROW($B$4:$B$99))-ROW($A$4)+1,ROWS(L$4:L22))),""),"")</f>
        <v/>
      </c>
    </row>
    <row r="23" spans="1:12" x14ac:dyDescent="0.2">
      <c r="A23" t="str">
        <f>combined!K22</f>
        <v>3D-20</v>
      </c>
      <c r="B23" t="str">
        <f>combined!L22</f>
        <v/>
      </c>
      <c r="D23" s="35" t="str">
        <f>IFERROR(IF(AND(ROWS(D$4:D23)&lt;=D$1,D$1&lt;&gt;""),INDEX($A$4:$A$99,_xlfn.AGGREGATE(15,3,($B$4:$B$99=D$3)/($B$4:$B$99=D$3)*(ROW($B$4:$B$99))-ROW($A$4)+1,ROWS(D$4:D23))),""),"")</f>
        <v/>
      </c>
      <c r="E23" s="31" t="str">
        <f>IFERROR(IF(AND(ROWS(E$4:E23)&lt;=E$1,E$1&lt;&gt;""),INDEX($A$4:$A$99,_xlfn.AGGREGATE(15,3,($B$4:$B$99=E$3)/($B$4:$B$99=E$3)*(ROW($B$4:$B$99))-ROW($A$4)+1,ROWS(E$4:E23))),""),"")</f>
        <v/>
      </c>
      <c r="F23" s="31" t="str">
        <f>IFERROR(IF(AND(ROWS(F$4:F23)&lt;=F$1,F$1&lt;&gt;""),INDEX($A$4:$A$99,_xlfn.AGGREGATE(15,3,($B$4:$B$99=F$3)/($B$4:$B$99=F$3)*(ROW($B$4:$B$99))-ROW($A$4)+1,ROWS(F$4:F23))),""),"")</f>
        <v/>
      </c>
      <c r="G23" s="31" t="str">
        <f>IFERROR(IF(AND(ROWS(G$4:G23)&lt;=G$1,G$1&lt;&gt;""),INDEX($A$4:$A$99,_xlfn.AGGREGATE(15,3,($B$4:$B$99=G$3)/($B$4:$B$99=G$3)*(ROW($B$4:$B$99))-ROW($A$4)+1,ROWS(G$4:G23))),""),"")</f>
        <v/>
      </c>
      <c r="H23" s="31" t="str">
        <f>IFERROR(IF(AND(ROWS(H$4:H23)&lt;=H$1,H$1&lt;&gt;""),INDEX($A$4:$A$99,_xlfn.AGGREGATE(15,3,($B$4:$B$99=H$3)/($B$4:$B$99=H$3)*(ROW($B$4:$B$99))-ROW($A$4)+1,ROWS(H$4:H23))),""),"")</f>
        <v/>
      </c>
      <c r="I23" s="31" t="str">
        <f>IFERROR(IF(AND(ROWS(I$4:I23)&lt;=I$1,I$1&lt;&gt;""),INDEX($A$4:$A$99,_xlfn.AGGREGATE(15,3,($B$4:$B$99=I$3)/($B$4:$B$99=I$3)*(ROW($B$4:$B$99))-ROW($A$4)+1,ROWS(I$4:I23))),""),"")</f>
        <v/>
      </c>
      <c r="J23" s="31" t="str">
        <f>IFERROR(IF(AND(ROWS(J$4:J23)&lt;=J$1,J$1&lt;&gt;""),INDEX($A$4:$A$99,_xlfn.AGGREGATE(15,3,($B$4:$B$99=J$3)/($B$4:$B$99=J$3)*(ROW($B$4:$B$99))-ROW($A$4)+1,ROWS(J$4:J23))),""),"")</f>
        <v/>
      </c>
      <c r="K23" s="31" t="str">
        <f>IFERROR(IF(AND(ROWS(K$4:K23)&lt;=K$1,K$1&lt;&gt;""),INDEX($A$4:$A$99,_xlfn.AGGREGATE(15,3,($B$4:$B$99=K$3)/($B$4:$B$99=K$3)*(ROW($B$4:$B$99))-ROW($A$4)+1,ROWS(K$4:K23))),""),"")</f>
        <v/>
      </c>
      <c r="L23" s="36" t="str">
        <f>IFERROR(IF(AND(ROWS(L$4:L23)&lt;=L$1,L$1&lt;&gt;""),INDEX($A$4:$A$99,_xlfn.AGGREGATE(15,3,($B$4:$B$99=L$3)/($B$4:$B$99=L$3)*(ROW($B$4:$B$99))-ROW($A$4)+1,ROWS(L$4:L23))),""),"")</f>
        <v/>
      </c>
    </row>
    <row r="24" spans="1:12" x14ac:dyDescent="0.2">
      <c r="A24" t="str">
        <f>combined!K23</f>
        <v>3E-21</v>
      </c>
      <c r="B24" t="str">
        <f>combined!L23</f>
        <v/>
      </c>
      <c r="D24" s="35" t="str">
        <f>IFERROR(IF(AND(ROWS(D$4:D24)&lt;=D$1,D$1&lt;&gt;""),INDEX($A$4:$A$99,_xlfn.AGGREGATE(15,3,($B$4:$B$99=D$3)/($B$4:$B$99=D$3)*(ROW($B$4:$B$99))-ROW($A$4)+1,ROWS(D$4:D24))),""),"")</f>
        <v/>
      </c>
      <c r="E24" s="31" t="str">
        <f>IFERROR(IF(AND(ROWS(E$4:E24)&lt;=E$1,E$1&lt;&gt;""),INDEX($A$4:$A$99,_xlfn.AGGREGATE(15,3,($B$4:$B$99=E$3)/($B$4:$B$99=E$3)*(ROW($B$4:$B$99))-ROW($A$4)+1,ROWS(E$4:E24))),""),"")</f>
        <v/>
      </c>
      <c r="F24" s="31" t="str">
        <f>IFERROR(IF(AND(ROWS(F$4:F24)&lt;=F$1,F$1&lt;&gt;""),INDEX($A$4:$A$99,_xlfn.AGGREGATE(15,3,($B$4:$B$99=F$3)/($B$4:$B$99=F$3)*(ROW($B$4:$B$99))-ROW($A$4)+1,ROWS(F$4:F24))),""),"")</f>
        <v/>
      </c>
      <c r="G24" s="31" t="str">
        <f>IFERROR(IF(AND(ROWS(G$4:G24)&lt;=G$1,G$1&lt;&gt;""),INDEX($A$4:$A$99,_xlfn.AGGREGATE(15,3,($B$4:$B$99=G$3)/($B$4:$B$99=G$3)*(ROW($B$4:$B$99))-ROW($A$4)+1,ROWS(G$4:G24))),""),"")</f>
        <v/>
      </c>
      <c r="H24" s="31" t="str">
        <f>IFERROR(IF(AND(ROWS(H$4:H24)&lt;=H$1,H$1&lt;&gt;""),INDEX($A$4:$A$99,_xlfn.AGGREGATE(15,3,($B$4:$B$99=H$3)/($B$4:$B$99=H$3)*(ROW($B$4:$B$99))-ROW($A$4)+1,ROWS(H$4:H24))),""),"")</f>
        <v/>
      </c>
      <c r="I24" s="31" t="str">
        <f>IFERROR(IF(AND(ROWS(I$4:I24)&lt;=I$1,I$1&lt;&gt;""),INDEX($A$4:$A$99,_xlfn.AGGREGATE(15,3,($B$4:$B$99=I$3)/($B$4:$B$99=I$3)*(ROW($B$4:$B$99))-ROW($A$4)+1,ROWS(I$4:I24))),""),"")</f>
        <v/>
      </c>
      <c r="J24" s="31" t="str">
        <f>IFERROR(IF(AND(ROWS(J$4:J24)&lt;=J$1,J$1&lt;&gt;""),INDEX($A$4:$A$99,_xlfn.AGGREGATE(15,3,($B$4:$B$99=J$3)/($B$4:$B$99=J$3)*(ROW($B$4:$B$99))-ROW($A$4)+1,ROWS(J$4:J24))),""),"")</f>
        <v/>
      </c>
      <c r="K24" s="31" t="str">
        <f>IFERROR(IF(AND(ROWS(K$4:K24)&lt;=K$1,K$1&lt;&gt;""),INDEX($A$4:$A$99,_xlfn.AGGREGATE(15,3,($B$4:$B$99=K$3)/($B$4:$B$99=K$3)*(ROW($B$4:$B$99))-ROW($A$4)+1,ROWS(K$4:K24))),""),"")</f>
        <v/>
      </c>
      <c r="L24" s="36" t="str">
        <f>IFERROR(IF(AND(ROWS(L$4:L24)&lt;=L$1,L$1&lt;&gt;""),INDEX($A$4:$A$99,_xlfn.AGGREGATE(15,3,($B$4:$B$99=L$3)/($B$4:$B$99=L$3)*(ROW($B$4:$B$99))-ROW($A$4)+1,ROWS(L$4:L24))),""),"")</f>
        <v/>
      </c>
    </row>
    <row r="25" spans="1:12" x14ac:dyDescent="0.2">
      <c r="A25" t="str">
        <f>combined!K24</f>
        <v>3F-22</v>
      </c>
      <c r="B25" t="str">
        <f>combined!L24</f>
        <v/>
      </c>
      <c r="D25" s="35" t="str">
        <f>IFERROR(IF(AND(ROWS(D$4:D25)&lt;=D$1,D$1&lt;&gt;""),INDEX($A$4:$A$99,_xlfn.AGGREGATE(15,3,($B$4:$B$99=D$3)/($B$4:$B$99=D$3)*(ROW($B$4:$B$99))-ROW($A$4)+1,ROWS(D$4:D25))),""),"")</f>
        <v/>
      </c>
      <c r="E25" s="31" t="str">
        <f>IFERROR(IF(AND(ROWS(E$4:E25)&lt;=E$1,E$1&lt;&gt;""),INDEX($A$4:$A$99,_xlfn.AGGREGATE(15,3,($B$4:$B$99=E$3)/($B$4:$B$99=E$3)*(ROW($B$4:$B$99))-ROW($A$4)+1,ROWS(E$4:E25))),""),"")</f>
        <v/>
      </c>
      <c r="F25" s="31" t="str">
        <f>IFERROR(IF(AND(ROWS(F$4:F25)&lt;=F$1,F$1&lt;&gt;""),INDEX($A$4:$A$99,_xlfn.AGGREGATE(15,3,($B$4:$B$99=F$3)/($B$4:$B$99=F$3)*(ROW($B$4:$B$99))-ROW($A$4)+1,ROWS(F$4:F25))),""),"")</f>
        <v/>
      </c>
      <c r="G25" s="31" t="str">
        <f>IFERROR(IF(AND(ROWS(G$4:G25)&lt;=G$1,G$1&lt;&gt;""),INDEX($A$4:$A$99,_xlfn.AGGREGATE(15,3,($B$4:$B$99=G$3)/($B$4:$B$99=G$3)*(ROW($B$4:$B$99))-ROW($A$4)+1,ROWS(G$4:G25))),""),"")</f>
        <v/>
      </c>
      <c r="H25" s="31" t="str">
        <f>IFERROR(IF(AND(ROWS(H$4:H25)&lt;=H$1,H$1&lt;&gt;""),INDEX($A$4:$A$99,_xlfn.AGGREGATE(15,3,($B$4:$B$99=H$3)/($B$4:$B$99=H$3)*(ROW($B$4:$B$99))-ROW($A$4)+1,ROWS(H$4:H25))),""),"")</f>
        <v/>
      </c>
      <c r="I25" s="31" t="str">
        <f>IFERROR(IF(AND(ROWS(I$4:I25)&lt;=I$1,I$1&lt;&gt;""),INDEX($A$4:$A$99,_xlfn.AGGREGATE(15,3,($B$4:$B$99=I$3)/($B$4:$B$99=I$3)*(ROW($B$4:$B$99))-ROW($A$4)+1,ROWS(I$4:I25))),""),"")</f>
        <v/>
      </c>
      <c r="J25" s="31" t="str">
        <f>IFERROR(IF(AND(ROWS(J$4:J25)&lt;=J$1,J$1&lt;&gt;""),INDEX($A$4:$A$99,_xlfn.AGGREGATE(15,3,($B$4:$B$99=J$3)/($B$4:$B$99=J$3)*(ROW($B$4:$B$99))-ROW($A$4)+1,ROWS(J$4:J25))),""),"")</f>
        <v/>
      </c>
      <c r="K25" s="31" t="str">
        <f>IFERROR(IF(AND(ROWS(K$4:K25)&lt;=K$1,K$1&lt;&gt;""),INDEX($A$4:$A$99,_xlfn.AGGREGATE(15,3,($B$4:$B$99=K$3)/($B$4:$B$99=K$3)*(ROW($B$4:$B$99))-ROW($A$4)+1,ROWS(K$4:K25))),""),"")</f>
        <v/>
      </c>
      <c r="L25" s="36" t="str">
        <f>IFERROR(IF(AND(ROWS(L$4:L25)&lt;=L$1,L$1&lt;&gt;""),INDEX($A$4:$A$99,_xlfn.AGGREGATE(15,3,($B$4:$B$99=L$3)/($B$4:$B$99=L$3)*(ROW($B$4:$B$99))-ROW($A$4)+1,ROWS(L$4:L25))),""),"")</f>
        <v/>
      </c>
    </row>
    <row r="26" spans="1:12" x14ac:dyDescent="0.2">
      <c r="A26" t="str">
        <f>combined!K25</f>
        <v>3G-23</v>
      </c>
      <c r="B26" t="str">
        <f>combined!L25</f>
        <v/>
      </c>
      <c r="D26" s="35" t="str">
        <f>IFERROR(IF(AND(ROWS(D$4:D26)&lt;=D$1,D$1&lt;&gt;""),INDEX($A$4:$A$99,_xlfn.AGGREGATE(15,3,($B$4:$B$99=D$3)/($B$4:$B$99=D$3)*(ROW($B$4:$B$99))-ROW($A$4)+1,ROWS(D$4:D26))),""),"")</f>
        <v/>
      </c>
      <c r="E26" s="31" t="str">
        <f>IFERROR(IF(AND(ROWS(E$4:E26)&lt;=E$1,E$1&lt;&gt;""),INDEX($A$4:$A$99,_xlfn.AGGREGATE(15,3,($B$4:$B$99=E$3)/($B$4:$B$99=E$3)*(ROW($B$4:$B$99))-ROW($A$4)+1,ROWS(E$4:E26))),""),"")</f>
        <v/>
      </c>
      <c r="F26" s="31" t="str">
        <f>IFERROR(IF(AND(ROWS(F$4:F26)&lt;=F$1,F$1&lt;&gt;""),INDEX($A$4:$A$99,_xlfn.AGGREGATE(15,3,($B$4:$B$99=F$3)/($B$4:$B$99=F$3)*(ROW($B$4:$B$99))-ROW($A$4)+1,ROWS(F$4:F26))),""),"")</f>
        <v/>
      </c>
      <c r="G26" s="31" t="str">
        <f>IFERROR(IF(AND(ROWS(G$4:G26)&lt;=G$1,G$1&lt;&gt;""),INDEX($A$4:$A$99,_xlfn.AGGREGATE(15,3,($B$4:$B$99=G$3)/($B$4:$B$99=G$3)*(ROW($B$4:$B$99))-ROW($A$4)+1,ROWS(G$4:G26))),""),"")</f>
        <v/>
      </c>
      <c r="H26" s="31" t="str">
        <f>IFERROR(IF(AND(ROWS(H$4:H26)&lt;=H$1,H$1&lt;&gt;""),INDEX($A$4:$A$99,_xlfn.AGGREGATE(15,3,($B$4:$B$99=H$3)/($B$4:$B$99=H$3)*(ROW($B$4:$B$99))-ROW($A$4)+1,ROWS(H$4:H26))),""),"")</f>
        <v/>
      </c>
      <c r="I26" s="31" t="str">
        <f>IFERROR(IF(AND(ROWS(I$4:I26)&lt;=I$1,I$1&lt;&gt;""),INDEX($A$4:$A$99,_xlfn.AGGREGATE(15,3,($B$4:$B$99=I$3)/($B$4:$B$99=I$3)*(ROW($B$4:$B$99))-ROW($A$4)+1,ROWS(I$4:I26))),""),"")</f>
        <v/>
      </c>
      <c r="J26" s="31" t="str">
        <f>IFERROR(IF(AND(ROWS(J$4:J26)&lt;=J$1,J$1&lt;&gt;""),INDEX($A$4:$A$99,_xlfn.AGGREGATE(15,3,($B$4:$B$99=J$3)/($B$4:$B$99=J$3)*(ROW($B$4:$B$99))-ROW($A$4)+1,ROWS(J$4:J26))),""),"")</f>
        <v/>
      </c>
      <c r="K26" s="31" t="str">
        <f>IFERROR(IF(AND(ROWS(K$4:K26)&lt;=K$1,K$1&lt;&gt;""),INDEX($A$4:$A$99,_xlfn.AGGREGATE(15,3,($B$4:$B$99=K$3)/($B$4:$B$99=K$3)*(ROW($B$4:$B$99))-ROW($A$4)+1,ROWS(K$4:K26))),""),"")</f>
        <v/>
      </c>
      <c r="L26" s="36" t="str">
        <f>IFERROR(IF(AND(ROWS(L$4:L26)&lt;=L$1,L$1&lt;&gt;""),INDEX($A$4:$A$99,_xlfn.AGGREGATE(15,3,($B$4:$B$99=L$3)/($B$4:$B$99=L$3)*(ROW($B$4:$B$99))-ROW($A$4)+1,ROWS(L$4:L26))),""),"")</f>
        <v/>
      </c>
    </row>
    <row r="27" spans="1:12" x14ac:dyDescent="0.2">
      <c r="A27" t="str">
        <f>combined!K26</f>
        <v>3H-24</v>
      </c>
      <c r="B27" t="str">
        <f>combined!L26</f>
        <v/>
      </c>
      <c r="D27" s="35" t="str">
        <f>IFERROR(IF(AND(ROWS(D$4:D27)&lt;=D$1,D$1&lt;&gt;""),INDEX($A$4:$A$99,_xlfn.AGGREGATE(15,3,($B$4:$B$99=D$3)/($B$4:$B$99=D$3)*(ROW($B$4:$B$99))-ROW($A$4)+1,ROWS(D$4:D27))),""),"")</f>
        <v/>
      </c>
      <c r="E27" s="31" t="str">
        <f>IFERROR(IF(AND(ROWS(E$4:E27)&lt;=E$1,E$1&lt;&gt;""),INDEX($A$4:$A$99,_xlfn.AGGREGATE(15,3,($B$4:$B$99=E$3)/($B$4:$B$99=E$3)*(ROW($B$4:$B$99))-ROW($A$4)+1,ROWS(E$4:E27))),""),"")</f>
        <v/>
      </c>
      <c r="F27" s="31" t="str">
        <f>IFERROR(IF(AND(ROWS(F$4:F27)&lt;=F$1,F$1&lt;&gt;""),INDEX($A$4:$A$99,_xlfn.AGGREGATE(15,3,($B$4:$B$99=F$3)/($B$4:$B$99=F$3)*(ROW($B$4:$B$99))-ROW($A$4)+1,ROWS(F$4:F27))),""),"")</f>
        <v/>
      </c>
      <c r="G27" s="31" t="str">
        <f>IFERROR(IF(AND(ROWS(G$4:G27)&lt;=G$1,G$1&lt;&gt;""),INDEX($A$4:$A$99,_xlfn.AGGREGATE(15,3,($B$4:$B$99=G$3)/($B$4:$B$99=G$3)*(ROW($B$4:$B$99))-ROW($A$4)+1,ROWS(G$4:G27))),""),"")</f>
        <v/>
      </c>
      <c r="H27" s="31" t="str">
        <f>IFERROR(IF(AND(ROWS(H$4:H27)&lt;=H$1,H$1&lt;&gt;""),INDEX($A$4:$A$99,_xlfn.AGGREGATE(15,3,($B$4:$B$99=H$3)/($B$4:$B$99=H$3)*(ROW($B$4:$B$99))-ROW($A$4)+1,ROWS(H$4:H27))),""),"")</f>
        <v/>
      </c>
      <c r="I27" s="31" t="str">
        <f>IFERROR(IF(AND(ROWS(I$4:I27)&lt;=I$1,I$1&lt;&gt;""),INDEX($A$4:$A$99,_xlfn.AGGREGATE(15,3,($B$4:$B$99=I$3)/($B$4:$B$99=I$3)*(ROW($B$4:$B$99))-ROW($A$4)+1,ROWS(I$4:I27))),""),"")</f>
        <v/>
      </c>
      <c r="J27" s="31" t="str">
        <f>IFERROR(IF(AND(ROWS(J$4:J27)&lt;=J$1,J$1&lt;&gt;""),INDEX($A$4:$A$99,_xlfn.AGGREGATE(15,3,($B$4:$B$99=J$3)/($B$4:$B$99=J$3)*(ROW($B$4:$B$99))-ROW($A$4)+1,ROWS(J$4:J27))),""),"")</f>
        <v/>
      </c>
      <c r="K27" s="31" t="str">
        <f>IFERROR(IF(AND(ROWS(K$4:K27)&lt;=K$1,K$1&lt;&gt;""),INDEX($A$4:$A$99,_xlfn.AGGREGATE(15,3,($B$4:$B$99=K$3)/($B$4:$B$99=K$3)*(ROW($B$4:$B$99))-ROW($A$4)+1,ROWS(K$4:K27))),""),"")</f>
        <v/>
      </c>
      <c r="L27" s="36" t="str">
        <f>IFERROR(IF(AND(ROWS(L$4:L27)&lt;=L$1,L$1&lt;&gt;""),INDEX($A$4:$A$99,_xlfn.AGGREGATE(15,3,($B$4:$B$99=L$3)/($B$4:$B$99=L$3)*(ROW($B$4:$B$99))-ROW($A$4)+1,ROWS(L$4:L27))),""),"")</f>
        <v/>
      </c>
    </row>
    <row r="28" spans="1:12" x14ac:dyDescent="0.2">
      <c r="A28" t="str">
        <f>combined!M3</f>
        <v>4A-25</v>
      </c>
      <c r="B28" t="str">
        <f>combined!N3</f>
        <v/>
      </c>
      <c r="D28" s="35" t="str">
        <f>IFERROR(IF(AND(ROWS(D$4:D28)&lt;=D$1,D$1&lt;&gt;""),INDEX($A$4:$A$99,_xlfn.AGGREGATE(15,3,($B$4:$B$99=D$3)/($B$4:$B$99=D$3)*(ROW($B$4:$B$99))-ROW($A$4)+1,ROWS(D$4:D28))),""),"")</f>
        <v/>
      </c>
      <c r="E28" s="31" t="str">
        <f>IFERROR(IF(AND(ROWS(E$4:E28)&lt;=E$1,E$1&lt;&gt;""),INDEX($A$4:$A$99,_xlfn.AGGREGATE(15,3,($B$4:$B$99=E$3)/($B$4:$B$99=E$3)*(ROW($B$4:$B$99))-ROW($A$4)+1,ROWS(E$4:E28))),""),"")</f>
        <v/>
      </c>
      <c r="F28" s="31" t="str">
        <f>IFERROR(IF(AND(ROWS(F$4:F28)&lt;=F$1,F$1&lt;&gt;""),INDEX($A$4:$A$99,_xlfn.AGGREGATE(15,3,($B$4:$B$99=F$3)/($B$4:$B$99=F$3)*(ROW($B$4:$B$99))-ROW($A$4)+1,ROWS(F$4:F28))),""),"")</f>
        <v/>
      </c>
      <c r="G28" s="31" t="str">
        <f>IFERROR(IF(AND(ROWS(G$4:G28)&lt;=G$1,G$1&lt;&gt;""),INDEX($A$4:$A$99,_xlfn.AGGREGATE(15,3,($B$4:$B$99=G$3)/($B$4:$B$99=G$3)*(ROW($B$4:$B$99))-ROW($A$4)+1,ROWS(G$4:G28))),""),"")</f>
        <v/>
      </c>
      <c r="H28" s="31" t="str">
        <f>IFERROR(IF(AND(ROWS(H$4:H28)&lt;=H$1,H$1&lt;&gt;""),INDEX($A$4:$A$99,_xlfn.AGGREGATE(15,3,($B$4:$B$99=H$3)/($B$4:$B$99=H$3)*(ROW($B$4:$B$99))-ROW($A$4)+1,ROWS(H$4:H28))),""),"")</f>
        <v/>
      </c>
      <c r="I28" s="31" t="str">
        <f>IFERROR(IF(AND(ROWS(I$4:I28)&lt;=I$1,I$1&lt;&gt;""),INDEX($A$4:$A$99,_xlfn.AGGREGATE(15,3,($B$4:$B$99=I$3)/($B$4:$B$99=I$3)*(ROW($B$4:$B$99))-ROW($A$4)+1,ROWS(I$4:I28))),""),"")</f>
        <v/>
      </c>
      <c r="J28" s="31" t="str">
        <f>IFERROR(IF(AND(ROWS(J$4:J28)&lt;=J$1,J$1&lt;&gt;""),INDEX($A$4:$A$99,_xlfn.AGGREGATE(15,3,($B$4:$B$99=J$3)/($B$4:$B$99=J$3)*(ROW($B$4:$B$99))-ROW($A$4)+1,ROWS(J$4:J28))),""),"")</f>
        <v/>
      </c>
      <c r="K28" s="31" t="str">
        <f>IFERROR(IF(AND(ROWS(K$4:K28)&lt;=K$1,K$1&lt;&gt;""),INDEX($A$4:$A$99,_xlfn.AGGREGATE(15,3,($B$4:$B$99=K$3)/($B$4:$B$99=K$3)*(ROW($B$4:$B$99))-ROW($A$4)+1,ROWS(K$4:K28))),""),"")</f>
        <v/>
      </c>
      <c r="L28" s="36" t="str">
        <f>IFERROR(IF(AND(ROWS(L$4:L28)&lt;=L$1,L$1&lt;&gt;""),INDEX($A$4:$A$99,_xlfn.AGGREGATE(15,3,($B$4:$B$99=L$3)/($B$4:$B$99=L$3)*(ROW($B$4:$B$99))-ROW($A$4)+1,ROWS(L$4:L28))),""),"")</f>
        <v/>
      </c>
    </row>
    <row r="29" spans="1:12" x14ac:dyDescent="0.2">
      <c r="A29" t="str">
        <f>combined!M4</f>
        <v>4B-26</v>
      </c>
      <c r="B29" t="str">
        <f>combined!N4</f>
        <v/>
      </c>
      <c r="D29" s="35" t="str">
        <f>IFERROR(IF(AND(ROWS(D$4:D29)&lt;=D$1,D$1&lt;&gt;""),INDEX($A$4:$A$99,_xlfn.AGGREGATE(15,3,($B$4:$B$99=D$3)/($B$4:$B$99=D$3)*(ROW($B$4:$B$99))-ROW($A$4)+1,ROWS(D$4:D29))),""),"")</f>
        <v/>
      </c>
      <c r="E29" s="31" t="str">
        <f>IFERROR(IF(AND(ROWS(E$4:E29)&lt;=E$1,E$1&lt;&gt;""),INDEX($A$4:$A$99,_xlfn.AGGREGATE(15,3,($B$4:$B$99=E$3)/($B$4:$B$99=E$3)*(ROW($B$4:$B$99))-ROW($A$4)+1,ROWS(E$4:E29))),""),"")</f>
        <v/>
      </c>
      <c r="F29" s="31" t="str">
        <f>IFERROR(IF(AND(ROWS(F$4:F29)&lt;=F$1,F$1&lt;&gt;""),INDEX($A$4:$A$99,_xlfn.AGGREGATE(15,3,($B$4:$B$99=F$3)/($B$4:$B$99=F$3)*(ROW($B$4:$B$99))-ROW($A$4)+1,ROWS(F$4:F29))),""),"")</f>
        <v/>
      </c>
      <c r="G29" s="31" t="str">
        <f>IFERROR(IF(AND(ROWS(G$4:G29)&lt;=G$1,G$1&lt;&gt;""),INDEX($A$4:$A$99,_xlfn.AGGREGATE(15,3,($B$4:$B$99=G$3)/($B$4:$B$99=G$3)*(ROW($B$4:$B$99))-ROW($A$4)+1,ROWS(G$4:G29))),""),"")</f>
        <v/>
      </c>
      <c r="H29" s="31" t="str">
        <f>IFERROR(IF(AND(ROWS(H$4:H29)&lt;=H$1,H$1&lt;&gt;""),INDEX($A$4:$A$99,_xlfn.AGGREGATE(15,3,($B$4:$B$99=H$3)/($B$4:$B$99=H$3)*(ROW($B$4:$B$99))-ROW($A$4)+1,ROWS(H$4:H29))),""),"")</f>
        <v/>
      </c>
      <c r="I29" s="31" t="str">
        <f>IFERROR(IF(AND(ROWS(I$4:I29)&lt;=I$1,I$1&lt;&gt;""),INDEX($A$4:$A$99,_xlfn.AGGREGATE(15,3,($B$4:$B$99=I$3)/($B$4:$B$99=I$3)*(ROW($B$4:$B$99))-ROW($A$4)+1,ROWS(I$4:I29))),""),"")</f>
        <v/>
      </c>
      <c r="J29" s="31" t="str">
        <f>IFERROR(IF(AND(ROWS(J$4:J29)&lt;=J$1,J$1&lt;&gt;""),INDEX($A$4:$A$99,_xlfn.AGGREGATE(15,3,($B$4:$B$99=J$3)/($B$4:$B$99=J$3)*(ROW($B$4:$B$99))-ROW($A$4)+1,ROWS(J$4:J29))),""),"")</f>
        <v/>
      </c>
      <c r="K29" s="31" t="str">
        <f>IFERROR(IF(AND(ROWS(K$4:K29)&lt;=K$1,K$1&lt;&gt;""),INDEX($A$4:$A$99,_xlfn.AGGREGATE(15,3,($B$4:$B$99=K$3)/($B$4:$B$99=K$3)*(ROW($B$4:$B$99))-ROW($A$4)+1,ROWS(K$4:K29))),""),"")</f>
        <v/>
      </c>
      <c r="L29" s="36" t="str">
        <f>IFERROR(IF(AND(ROWS(L$4:L29)&lt;=L$1,L$1&lt;&gt;""),INDEX($A$4:$A$99,_xlfn.AGGREGATE(15,3,($B$4:$B$99=L$3)/($B$4:$B$99=L$3)*(ROW($B$4:$B$99))-ROW($A$4)+1,ROWS(L$4:L29))),""),"")</f>
        <v/>
      </c>
    </row>
    <row r="30" spans="1:12" x14ac:dyDescent="0.2">
      <c r="A30" t="str">
        <f>combined!M5</f>
        <v>4C-27</v>
      </c>
      <c r="B30" t="str">
        <f>combined!N5</f>
        <v/>
      </c>
      <c r="D30" s="35" t="str">
        <f>IFERROR(IF(AND(ROWS(D$4:D30)&lt;=D$1,D$1&lt;&gt;""),INDEX($A$4:$A$99,_xlfn.AGGREGATE(15,3,($B$4:$B$99=D$3)/($B$4:$B$99=D$3)*(ROW($B$4:$B$99))-ROW($A$4)+1,ROWS(D$4:D30))),""),"")</f>
        <v/>
      </c>
      <c r="E30" s="31" t="str">
        <f>IFERROR(IF(AND(ROWS(E$4:E30)&lt;=E$1,E$1&lt;&gt;""),INDEX($A$4:$A$99,_xlfn.AGGREGATE(15,3,($B$4:$B$99=E$3)/($B$4:$B$99=E$3)*(ROW($B$4:$B$99))-ROW($A$4)+1,ROWS(E$4:E30))),""),"")</f>
        <v/>
      </c>
      <c r="F30" s="31" t="str">
        <f>IFERROR(IF(AND(ROWS(F$4:F30)&lt;=F$1,F$1&lt;&gt;""),INDEX($A$4:$A$99,_xlfn.AGGREGATE(15,3,($B$4:$B$99=F$3)/($B$4:$B$99=F$3)*(ROW($B$4:$B$99))-ROW($A$4)+1,ROWS(F$4:F30))),""),"")</f>
        <v/>
      </c>
      <c r="G30" s="31" t="str">
        <f>IFERROR(IF(AND(ROWS(G$4:G30)&lt;=G$1,G$1&lt;&gt;""),INDEX($A$4:$A$99,_xlfn.AGGREGATE(15,3,($B$4:$B$99=G$3)/($B$4:$B$99=G$3)*(ROW($B$4:$B$99))-ROW($A$4)+1,ROWS(G$4:G30))),""),"")</f>
        <v/>
      </c>
      <c r="H30" s="31" t="str">
        <f>IFERROR(IF(AND(ROWS(H$4:H30)&lt;=H$1,H$1&lt;&gt;""),INDEX($A$4:$A$99,_xlfn.AGGREGATE(15,3,($B$4:$B$99=H$3)/($B$4:$B$99=H$3)*(ROW($B$4:$B$99))-ROW($A$4)+1,ROWS(H$4:H30))),""),"")</f>
        <v/>
      </c>
      <c r="I30" s="31" t="str">
        <f>IFERROR(IF(AND(ROWS(I$4:I30)&lt;=I$1,I$1&lt;&gt;""),INDEX($A$4:$A$99,_xlfn.AGGREGATE(15,3,($B$4:$B$99=I$3)/($B$4:$B$99=I$3)*(ROW($B$4:$B$99))-ROW($A$4)+1,ROWS(I$4:I30))),""),"")</f>
        <v/>
      </c>
      <c r="J30" s="31" t="str">
        <f>IFERROR(IF(AND(ROWS(J$4:J30)&lt;=J$1,J$1&lt;&gt;""),INDEX($A$4:$A$99,_xlfn.AGGREGATE(15,3,($B$4:$B$99=J$3)/($B$4:$B$99=J$3)*(ROW($B$4:$B$99))-ROW($A$4)+1,ROWS(J$4:J30))),""),"")</f>
        <v/>
      </c>
      <c r="K30" s="31" t="str">
        <f>IFERROR(IF(AND(ROWS(K$4:K30)&lt;=K$1,K$1&lt;&gt;""),INDEX($A$4:$A$99,_xlfn.AGGREGATE(15,3,($B$4:$B$99=K$3)/($B$4:$B$99=K$3)*(ROW($B$4:$B$99))-ROW($A$4)+1,ROWS(K$4:K30))),""),"")</f>
        <v/>
      </c>
      <c r="L30" s="36" t="str">
        <f>IFERROR(IF(AND(ROWS(L$4:L30)&lt;=L$1,L$1&lt;&gt;""),INDEX($A$4:$A$99,_xlfn.AGGREGATE(15,3,($B$4:$B$99=L$3)/($B$4:$B$99=L$3)*(ROW($B$4:$B$99))-ROW($A$4)+1,ROWS(L$4:L30))),""),"")</f>
        <v/>
      </c>
    </row>
    <row r="31" spans="1:12" x14ac:dyDescent="0.2">
      <c r="A31" t="str">
        <f>combined!M6</f>
        <v>4D-28</v>
      </c>
      <c r="B31" t="str">
        <f>combined!N6</f>
        <v/>
      </c>
      <c r="D31" s="35" t="str">
        <f>IFERROR(IF(AND(ROWS(D$4:D31)&lt;=D$1,D$1&lt;&gt;""),INDEX($A$4:$A$99,_xlfn.AGGREGATE(15,3,($B$4:$B$99=D$3)/($B$4:$B$99=D$3)*(ROW($B$4:$B$99))-ROW($A$4)+1,ROWS(D$4:D31))),""),"")</f>
        <v/>
      </c>
      <c r="E31" s="31" t="str">
        <f>IFERROR(IF(AND(ROWS(E$4:E31)&lt;=E$1,E$1&lt;&gt;""),INDEX($A$4:$A$99,_xlfn.AGGREGATE(15,3,($B$4:$B$99=E$3)/($B$4:$B$99=E$3)*(ROW($B$4:$B$99))-ROW($A$4)+1,ROWS(E$4:E31))),""),"")</f>
        <v/>
      </c>
      <c r="F31" s="31" t="str">
        <f>IFERROR(IF(AND(ROWS(F$4:F31)&lt;=F$1,F$1&lt;&gt;""),INDEX($A$4:$A$99,_xlfn.AGGREGATE(15,3,($B$4:$B$99=F$3)/($B$4:$B$99=F$3)*(ROW($B$4:$B$99))-ROW($A$4)+1,ROWS(F$4:F31))),""),"")</f>
        <v/>
      </c>
      <c r="G31" s="31" t="str">
        <f>IFERROR(IF(AND(ROWS(G$4:G31)&lt;=G$1,G$1&lt;&gt;""),INDEX($A$4:$A$99,_xlfn.AGGREGATE(15,3,($B$4:$B$99=G$3)/($B$4:$B$99=G$3)*(ROW($B$4:$B$99))-ROW($A$4)+1,ROWS(G$4:G31))),""),"")</f>
        <v/>
      </c>
      <c r="H31" s="31" t="str">
        <f>IFERROR(IF(AND(ROWS(H$4:H31)&lt;=H$1,H$1&lt;&gt;""),INDEX($A$4:$A$99,_xlfn.AGGREGATE(15,3,($B$4:$B$99=H$3)/($B$4:$B$99=H$3)*(ROW($B$4:$B$99))-ROW($A$4)+1,ROWS(H$4:H31))),""),"")</f>
        <v/>
      </c>
      <c r="I31" s="31" t="str">
        <f>IFERROR(IF(AND(ROWS(I$4:I31)&lt;=I$1,I$1&lt;&gt;""),INDEX($A$4:$A$99,_xlfn.AGGREGATE(15,3,($B$4:$B$99=I$3)/($B$4:$B$99=I$3)*(ROW($B$4:$B$99))-ROW($A$4)+1,ROWS(I$4:I31))),""),"")</f>
        <v/>
      </c>
      <c r="J31" s="31" t="str">
        <f>IFERROR(IF(AND(ROWS(J$4:J31)&lt;=J$1,J$1&lt;&gt;""),INDEX($A$4:$A$99,_xlfn.AGGREGATE(15,3,($B$4:$B$99=J$3)/($B$4:$B$99=J$3)*(ROW($B$4:$B$99))-ROW($A$4)+1,ROWS(J$4:J31))),""),"")</f>
        <v/>
      </c>
      <c r="K31" s="31" t="str">
        <f>IFERROR(IF(AND(ROWS(K$4:K31)&lt;=K$1,K$1&lt;&gt;""),INDEX($A$4:$A$99,_xlfn.AGGREGATE(15,3,($B$4:$B$99=K$3)/($B$4:$B$99=K$3)*(ROW($B$4:$B$99))-ROW($A$4)+1,ROWS(K$4:K31))),""),"")</f>
        <v/>
      </c>
      <c r="L31" s="36" t="str">
        <f>IFERROR(IF(AND(ROWS(L$4:L31)&lt;=L$1,L$1&lt;&gt;""),INDEX($A$4:$A$99,_xlfn.AGGREGATE(15,3,($B$4:$B$99=L$3)/($B$4:$B$99=L$3)*(ROW($B$4:$B$99))-ROW($A$4)+1,ROWS(L$4:L31))),""),"")</f>
        <v/>
      </c>
    </row>
    <row r="32" spans="1:12" x14ac:dyDescent="0.2">
      <c r="A32" t="str">
        <f>combined!M7</f>
        <v>4E-29</v>
      </c>
      <c r="B32" t="str">
        <f>combined!N7</f>
        <v/>
      </c>
      <c r="D32" s="35" t="str">
        <f>IFERROR(IF(AND(ROWS(D$4:D32)&lt;=D$1,D$1&lt;&gt;""),INDEX($A$4:$A$99,_xlfn.AGGREGATE(15,3,($B$4:$B$99=D$3)/($B$4:$B$99=D$3)*(ROW($B$4:$B$99))-ROW($A$4)+1,ROWS(D$4:D32))),""),"")</f>
        <v/>
      </c>
      <c r="E32" s="31" t="str">
        <f>IFERROR(IF(AND(ROWS(E$4:E32)&lt;=E$1,E$1&lt;&gt;""),INDEX($A$4:$A$99,_xlfn.AGGREGATE(15,3,($B$4:$B$99=E$3)/($B$4:$B$99=E$3)*(ROW($B$4:$B$99))-ROW($A$4)+1,ROWS(E$4:E32))),""),"")</f>
        <v/>
      </c>
      <c r="F32" s="31" t="str">
        <f>IFERROR(IF(AND(ROWS(F$4:F32)&lt;=F$1,F$1&lt;&gt;""),INDEX($A$4:$A$99,_xlfn.AGGREGATE(15,3,($B$4:$B$99=F$3)/($B$4:$B$99=F$3)*(ROW($B$4:$B$99))-ROW($A$4)+1,ROWS(F$4:F32))),""),"")</f>
        <v/>
      </c>
      <c r="G32" s="31" t="str">
        <f>IFERROR(IF(AND(ROWS(G$4:G32)&lt;=G$1,G$1&lt;&gt;""),INDEX($A$4:$A$99,_xlfn.AGGREGATE(15,3,($B$4:$B$99=G$3)/($B$4:$B$99=G$3)*(ROW($B$4:$B$99))-ROW($A$4)+1,ROWS(G$4:G32))),""),"")</f>
        <v/>
      </c>
      <c r="H32" s="31" t="str">
        <f>IFERROR(IF(AND(ROWS(H$4:H32)&lt;=H$1,H$1&lt;&gt;""),INDEX($A$4:$A$99,_xlfn.AGGREGATE(15,3,($B$4:$B$99=H$3)/($B$4:$B$99=H$3)*(ROW($B$4:$B$99))-ROW($A$4)+1,ROWS(H$4:H32))),""),"")</f>
        <v/>
      </c>
      <c r="I32" s="31" t="str">
        <f>IFERROR(IF(AND(ROWS(I$4:I32)&lt;=I$1,I$1&lt;&gt;""),INDEX($A$4:$A$99,_xlfn.AGGREGATE(15,3,($B$4:$B$99=I$3)/($B$4:$B$99=I$3)*(ROW($B$4:$B$99))-ROW($A$4)+1,ROWS(I$4:I32))),""),"")</f>
        <v/>
      </c>
      <c r="J32" s="31" t="str">
        <f>IFERROR(IF(AND(ROWS(J$4:J32)&lt;=J$1,J$1&lt;&gt;""),INDEX($A$4:$A$99,_xlfn.AGGREGATE(15,3,($B$4:$B$99=J$3)/($B$4:$B$99=J$3)*(ROW($B$4:$B$99))-ROW($A$4)+1,ROWS(J$4:J32))),""),"")</f>
        <v/>
      </c>
      <c r="K32" s="31" t="str">
        <f>IFERROR(IF(AND(ROWS(K$4:K32)&lt;=K$1,K$1&lt;&gt;""),INDEX($A$4:$A$99,_xlfn.AGGREGATE(15,3,($B$4:$B$99=K$3)/($B$4:$B$99=K$3)*(ROW($B$4:$B$99))-ROW($A$4)+1,ROWS(K$4:K32))),""),"")</f>
        <v/>
      </c>
      <c r="L32" s="36" t="str">
        <f>IFERROR(IF(AND(ROWS(L$4:L32)&lt;=L$1,L$1&lt;&gt;""),INDEX($A$4:$A$99,_xlfn.AGGREGATE(15,3,($B$4:$B$99=L$3)/($B$4:$B$99=L$3)*(ROW($B$4:$B$99))-ROW($A$4)+1,ROWS(L$4:L32))),""),"")</f>
        <v/>
      </c>
    </row>
    <row r="33" spans="1:12" x14ac:dyDescent="0.2">
      <c r="A33" t="str">
        <f>combined!M8</f>
        <v>4F-30</v>
      </c>
      <c r="B33" t="str">
        <f>combined!N8</f>
        <v/>
      </c>
      <c r="D33" s="35" t="str">
        <f>IFERROR(IF(AND(ROWS(D$4:D33)&lt;=D$1,D$1&lt;&gt;""),INDEX($A$4:$A$99,_xlfn.AGGREGATE(15,3,($B$4:$B$99=D$3)/($B$4:$B$99=D$3)*(ROW($B$4:$B$99))-ROW($A$4)+1,ROWS(D$4:D33))),""),"")</f>
        <v/>
      </c>
      <c r="E33" s="31" t="str">
        <f>IFERROR(IF(AND(ROWS(E$4:E33)&lt;=E$1,E$1&lt;&gt;""),INDEX($A$4:$A$99,_xlfn.AGGREGATE(15,3,($B$4:$B$99=E$3)/($B$4:$B$99=E$3)*(ROW($B$4:$B$99))-ROW($A$4)+1,ROWS(E$4:E33))),""),"")</f>
        <v/>
      </c>
      <c r="F33" s="31" t="str">
        <f>IFERROR(IF(AND(ROWS(F$4:F33)&lt;=F$1,F$1&lt;&gt;""),INDEX($A$4:$A$99,_xlfn.AGGREGATE(15,3,($B$4:$B$99=F$3)/($B$4:$B$99=F$3)*(ROW($B$4:$B$99))-ROW($A$4)+1,ROWS(F$4:F33))),""),"")</f>
        <v/>
      </c>
      <c r="G33" s="31" t="str">
        <f>IFERROR(IF(AND(ROWS(G$4:G33)&lt;=G$1,G$1&lt;&gt;""),INDEX($A$4:$A$99,_xlfn.AGGREGATE(15,3,($B$4:$B$99=G$3)/($B$4:$B$99=G$3)*(ROW($B$4:$B$99))-ROW($A$4)+1,ROWS(G$4:G33))),""),"")</f>
        <v/>
      </c>
      <c r="H33" s="31" t="str">
        <f>IFERROR(IF(AND(ROWS(H$4:H33)&lt;=H$1,H$1&lt;&gt;""),INDEX($A$4:$A$99,_xlfn.AGGREGATE(15,3,($B$4:$B$99=H$3)/($B$4:$B$99=H$3)*(ROW($B$4:$B$99))-ROW($A$4)+1,ROWS(H$4:H33))),""),"")</f>
        <v/>
      </c>
      <c r="I33" s="31" t="str">
        <f>IFERROR(IF(AND(ROWS(I$4:I33)&lt;=I$1,I$1&lt;&gt;""),INDEX($A$4:$A$99,_xlfn.AGGREGATE(15,3,($B$4:$B$99=I$3)/($B$4:$B$99=I$3)*(ROW($B$4:$B$99))-ROW($A$4)+1,ROWS(I$4:I33))),""),"")</f>
        <v/>
      </c>
      <c r="J33" s="31" t="str">
        <f>IFERROR(IF(AND(ROWS(J$4:J33)&lt;=J$1,J$1&lt;&gt;""),INDEX($A$4:$A$99,_xlfn.AGGREGATE(15,3,($B$4:$B$99=J$3)/($B$4:$B$99=J$3)*(ROW($B$4:$B$99))-ROW($A$4)+1,ROWS(J$4:J33))),""),"")</f>
        <v/>
      </c>
      <c r="K33" s="31" t="str">
        <f>IFERROR(IF(AND(ROWS(K$4:K33)&lt;=K$1,K$1&lt;&gt;""),INDEX($A$4:$A$99,_xlfn.AGGREGATE(15,3,($B$4:$B$99=K$3)/($B$4:$B$99=K$3)*(ROW($B$4:$B$99))-ROW($A$4)+1,ROWS(K$4:K33))),""),"")</f>
        <v/>
      </c>
      <c r="L33" s="36" t="str">
        <f>IFERROR(IF(AND(ROWS(L$4:L33)&lt;=L$1,L$1&lt;&gt;""),INDEX($A$4:$A$99,_xlfn.AGGREGATE(15,3,($B$4:$B$99=L$3)/($B$4:$B$99=L$3)*(ROW($B$4:$B$99))-ROW($A$4)+1,ROWS(L$4:L33))),""),"")</f>
        <v/>
      </c>
    </row>
    <row r="34" spans="1:12" x14ac:dyDescent="0.2">
      <c r="A34" t="str">
        <f>combined!M9</f>
        <v>4G-31</v>
      </c>
      <c r="B34" t="str">
        <f>combined!N9</f>
        <v/>
      </c>
      <c r="D34" s="35" t="str">
        <f>IFERROR(IF(AND(ROWS(D$4:D34)&lt;=D$1,D$1&lt;&gt;""),INDEX($A$4:$A$99,_xlfn.AGGREGATE(15,3,($B$4:$B$99=D$3)/($B$4:$B$99=D$3)*(ROW($B$4:$B$99))-ROW($A$4)+1,ROWS(D$4:D34))),""),"")</f>
        <v/>
      </c>
      <c r="E34" s="31" t="str">
        <f>IFERROR(IF(AND(ROWS(E$4:E34)&lt;=E$1,E$1&lt;&gt;""),INDEX($A$4:$A$99,_xlfn.AGGREGATE(15,3,($B$4:$B$99=E$3)/($B$4:$B$99=E$3)*(ROW($B$4:$B$99))-ROW($A$4)+1,ROWS(E$4:E34))),""),"")</f>
        <v/>
      </c>
      <c r="F34" s="31" t="str">
        <f>IFERROR(IF(AND(ROWS(F$4:F34)&lt;=F$1,F$1&lt;&gt;""),INDEX($A$4:$A$99,_xlfn.AGGREGATE(15,3,($B$4:$B$99=F$3)/($B$4:$B$99=F$3)*(ROW($B$4:$B$99))-ROW($A$4)+1,ROWS(F$4:F34))),""),"")</f>
        <v/>
      </c>
      <c r="G34" s="31" t="str">
        <f>IFERROR(IF(AND(ROWS(G$4:G34)&lt;=G$1,G$1&lt;&gt;""),INDEX($A$4:$A$99,_xlfn.AGGREGATE(15,3,($B$4:$B$99=G$3)/($B$4:$B$99=G$3)*(ROW($B$4:$B$99))-ROW($A$4)+1,ROWS(G$4:G34))),""),"")</f>
        <v/>
      </c>
      <c r="H34" s="31" t="str">
        <f>IFERROR(IF(AND(ROWS(H$4:H34)&lt;=H$1,H$1&lt;&gt;""),INDEX($A$4:$A$99,_xlfn.AGGREGATE(15,3,($B$4:$B$99=H$3)/($B$4:$B$99=H$3)*(ROW($B$4:$B$99))-ROW($A$4)+1,ROWS(H$4:H34))),""),"")</f>
        <v/>
      </c>
      <c r="I34" s="31" t="str">
        <f>IFERROR(IF(AND(ROWS(I$4:I34)&lt;=I$1,I$1&lt;&gt;""),INDEX($A$4:$A$99,_xlfn.AGGREGATE(15,3,($B$4:$B$99=I$3)/($B$4:$B$99=I$3)*(ROW($B$4:$B$99))-ROW($A$4)+1,ROWS(I$4:I34))),""),"")</f>
        <v/>
      </c>
      <c r="J34" s="31" t="str">
        <f>IFERROR(IF(AND(ROWS(J$4:J34)&lt;=J$1,J$1&lt;&gt;""),INDEX($A$4:$A$99,_xlfn.AGGREGATE(15,3,($B$4:$B$99=J$3)/($B$4:$B$99=J$3)*(ROW($B$4:$B$99))-ROW($A$4)+1,ROWS(J$4:J34))),""),"")</f>
        <v/>
      </c>
      <c r="K34" s="31" t="str">
        <f>IFERROR(IF(AND(ROWS(K$4:K34)&lt;=K$1,K$1&lt;&gt;""),INDEX($A$4:$A$99,_xlfn.AGGREGATE(15,3,($B$4:$B$99=K$3)/($B$4:$B$99=K$3)*(ROW($B$4:$B$99))-ROW($A$4)+1,ROWS(K$4:K34))),""),"")</f>
        <v/>
      </c>
      <c r="L34" s="36" t="str">
        <f>IFERROR(IF(AND(ROWS(L$4:L34)&lt;=L$1,L$1&lt;&gt;""),INDEX($A$4:$A$99,_xlfn.AGGREGATE(15,3,($B$4:$B$99=L$3)/($B$4:$B$99=L$3)*(ROW($B$4:$B$99))-ROW($A$4)+1,ROWS(L$4:L34))),""),"")</f>
        <v/>
      </c>
    </row>
    <row r="35" spans="1:12" x14ac:dyDescent="0.2">
      <c r="A35" t="str">
        <f>combined!M10</f>
        <v>4H-32</v>
      </c>
      <c r="B35" t="str">
        <f>combined!N10</f>
        <v/>
      </c>
      <c r="D35" s="35" t="str">
        <f>IFERROR(IF(AND(ROWS(D$4:D35)&lt;=D$1,D$1&lt;&gt;""),INDEX($A$4:$A$99,_xlfn.AGGREGATE(15,3,($B$4:$B$99=D$3)/($B$4:$B$99=D$3)*(ROW($B$4:$B$99))-ROW($A$4)+1,ROWS(D$4:D35))),""),"")</f>
        <v/>
      </c>
      <c r="E35" s="31" t="str">
        <f>IFERROR(IF(AND(ROWS(E$4:E35)&lt;=E$1,E$1&lt;&gt;""),INDEX($A$4:$A$99,_xlfn.AGGREGATE(15,3,($B$4:$B$99=E$3)/($B$4:$B$99=E$3)*(ROW($B$4:$B$99))-ROW($A$4)+1,ROWS(E$4:E35))),""),"")</f>
        <v/>
      </c>
      <c r="F35" s="31" t="str">
        <f>IFERROR(IF(AND(ROWS(F$4:F35)&lt;=F$1,F$1&lt;&gt;""),INDEX($A$4:$A$99,_xlfn.AGGREGATE(15,3,($B$4:$B$99=F$3)/($B$4:$B$99=F$3)*(ROW($B$4:$B$99))-ROW($A$4)+1,ROWS(F$4:F35))),""),"")</f>
        <v/>
      </c>
      <c r="G35" s="31" t="str">
        <f>IFERROR(IF(AND(ROWS(G$4:G35)&lt;=G$1,G$1&lt;&gt;""),INDEX($A$4:$A$99,_xlfn.AGGREGATE(15,3,($B$4:$B$99=G$3)/($B$4:$B$99=G$3)*(ROW($B$4:$B$99))-ROW($A$4)+1,ROWS(G$4:G35))),""),"")</f>
        <v/>
      </c>
      <c r="H35" s="31" t="str">
        <f>IFERROR(IF(AND(ROWS(H$4:H35)&lt;=H$1,H$1&lt;&gt;""),INDEX($A$4:$A$99,_xlfn.AGGREGATE(15,3,($B$4:$B$99=H$3)/($B$4:$B$99=H$3)*(ROW($B$4:$B$99))-ROW($A$4)+1,ROWS(H$4:H35))),""),"")</f>
        <v/>
      </c>
      <c r="I35" s="31" t="str">
        <f>IFERROR(IF(AND(ROWS(I$4:I35)&lt;=I$1,I$1&lt;&gt;""),INDEX($A$4:$A$99,_xlfn.AGGREGATE(15,3,($B$4:$B$99=I$3)/($B$4:$B$99=I$3)*(ROW($B$4:$B$99))-ROW($A$4)+1,ROWS(I$4:I35))),""),"")</f>
        <v/>
      </c>
      <c r="J35" s="31" t="str">
        <f>IFERROR(IF(AND(ROWS(J$4:J35)&lt;=J$1,J$1&lt;&gt;""),INDEX($A$4:$A$99,_xlfn.AGGREGATE(15,3,($B$4:$B$99=J$3)/($B$4:$B$99=J$3)*(ROW($B$4:$B$99))-ROW($A$4)+1,ROWS(J$4:J35))),""),"")</f>
        <v/>
      </c>
      <c r="K35" s="31" t="str">
        <f>IFERROR(IF(AND(ROWS(K$4:K35)&lt;=K$1,K$1&lt;&gt;""),INDEX($A$4:$A$99,_xlfn.AGGREGATE(15,3,($B$4:$B$99=K$3)/($B$4:$B$99=K$3)*(ROW($B$4:$B$99))-ROW($A$4)+1,ROWS(K$4:K35))),""),"")</f>
        <v/>
      </c>
      <c r="L35" s="36" t="str">
        <f>IFERROR(IF(AND(ROWS(L$4:L35)&lt;=L$1,L$1&lt;&gt;""),INDEX($A$4:$A$99,_xlfn.AGGREGATE(15,3,($B$4:$B$99=L$3)/($B$4:$B$99=L$3)*(ROW($B$4:$B$99))-ROW($A$4)+1,ROWS(L$4:L35))),""),"")</f>
        <v/>
      </c>
    </row>
    <row r="36" spans="1:12" x14ac:dyDescent="0.2">
      <c r="A36" t="str">
        <f>combined!M11</f>
        <v>5A-33</v>
      </c>
      <c r="B36" t="str">
        <f>combined!N11</f>
        <v/>
      </c>
      <c r="D36" s="35" t="str">
        <f>IFERROR(IF(AND(ROWS(D$4:D36)&lt;=D$1,D$1&lt;&gt;""),INDEX($A$4:$A$99,_xlfn.AGGREGATE(15,3,($B$4:$B$99=D$3)/($B$4:$B$99=D$3)*(ROW($B$4:$B$99))-ROW($A$4)+1,ROWS(D$4:D36))),""),"")</f>
        <v/>
      </c>
      <c r="E36" s="31" t="str">
        <f>IFERROR(IF(AND(ROWS(E$4:E36)&lt;=E$1,E$1&lt;&gt;""),INDEX($A$4:$A$99,_xlfn.AGGREGATE(15,3,($B$4:$B$99=E$3)/($B$4:$B$99=E$3)*(ROW($B$4:$B$99))-ROW($A$4)+1,ROWS(E$4:E36))),""),"")</f>
        <v/>
      </c>
      <c r="F36" s="31" t="str">
        <f>IFERROR(IF(AND(ROWS(F$4:F36)&lt;=F$1,F$1&lt;&gt;""),INDEX($A$4:$A$99,_xlfn.AGGREGATE(15,3,($B$4:$B$99=F$3)/($B$4:$B$99=F$3)*(ROW($B$4:$B$99))-ROW($A$4)+1,ROWS(F$4:F36))),""),"")</f>
        <v/>
      </c>
      <c r="G36" s="31" t="str">
        <f>IFERROR(IF(AND(ROWS(G$4:G36)&lt;=G$1,G$1&lt;&gt;""),INDEX($A$4:$A$99,_xlfn.AGGREGATE(15,3,($B$4:$B$99=G$3)/($B$4:$B$99=G$3)*(ROW($B$4:$B$99))-ROW($A$4)+1,ROWS(G$4:G36))),""),"")</f>
        <v/>
      </c>
      <c r="H36" s="31" t="str">
        <f>IFERROR(IF(AND(ROWS(H$4:H36)&lt;=H$1,H$1&lt;&gt;""),INDEX($A$4:$A$99,_xlfn.AGGREGATE(15,3,($B$4:$B$99=H$3)/($B$4:$B$99=H$3)*(ROW($B$4:$B$99))-ROW($A$4)+1,ROWS(H$4:H36))),""),"")</f>
        <v/>
      </c>
      <c r="I36" s="31" t="str">
        <f>IFERROR(IF(AND(ROWS(I$4:I36)&lt;=I$1,I$1&lt;&gt;""),INDEX($A$4:$A$99,_xlfn.AGGREGATE(15,3,($B$4:$B$99=I$3)/($B$4:$B$99=I$3)*(ROW($B$4:$B$99))-ROW($A$4)+1,ROWS(I$4:I36))),""),"")</f>
        <v/>
      </c>
      <c r="J36" s="31" t="str">
        <f>IFERROR(IF(AND(ROWS(J$4:J36)&lt;=J$1,J$1&lt;&gt;""),INDEX($A$4:$A$99,_xlfn.AGGREGATE(15,3,($B$4:$B$99=J$3)/($B$4:$B$99=J$3)*(ROW($B$4:$B$99))-ROW($A$4)+1,ROWS(J$4:J36))),""),"")</f>
        <v/>
      </c>
      <c r="K36" s="31" t="str">
        <f>IFERROR(IF(AND(ROWS(K$4:K36)&lt;=K$1,K$1&lt;&gt;""),INDEX($A$4:$A$99,_xlfn.AGGREGATE(15,3,($B$4:$B$99=K$3)/($B$4:$B$99=K$3)*(ROW($B$4:$B$99))-ROW($A$4)+1,ROWS(K$4:K36))),""),"")</f>
        <v/>
      </c>
      <c r="L36" s="36" t="str">
        <f>IFERROR(IF(AND(ROWS(L$4:L36)&lt;=L$1,L$1&lt;&gt;""),INDEX($A$4:$A$99,_xlfn.AGGREGATE(15,3,($B$4:$B$99=L$3)/($B$4:$B$99=L$3)*(ROW($B$4:$B$99))-ROW($A$4)+1,ROWS(L$4:L36))),""),"")</f>
        <v/>
      </c>
    </row>
    <row r="37" spans="1:12" x14ac:dyDescent="0.2">
      <c r="A37" t="str">
        <f>combined!M12</f>
        <v>5B-34</v>
      </c>
      <c r="B37" t="str">
        <f>combined!N12</f>
        <v/>
      </c>
      <c r="D37" s="35" t="str">
        <f>IFERROR(IF(AND(ROWS(D$4:D37)&lt;=D$1,D$1&lt;&gt;""),INDEX($A$4:$A$99,_xlfn.AGGREGATE(15,3,($B$4:$B$99=D$3)/($B$4:$B$99=D$3)*(ROW($B$4:$B$99))-ROW($A$4)+1,ROWS(D$4:D37))),""),"")</f>
        <v/>
      </c>
      <c r="E37" s="31" t="str">
        <f>IFERROR(IF(AND(ROWS(E$4:E37)&lt;=E$1,E$1&lt;&gt;""),INDEX($A$4:$A$99,_xlfn.AGGREGATE(15,3,($B$4:$B$99=E$3)/($B$4:$B$99=E$3)*(ROW($B$4:$B$99))-ROW($A$4)+1,ROWS(E$4:E37))),""),"")</f>
        <v/>
      </c>
      <c r="F37" s="31" t="str">
        <f>IFERROR(IF(AND(ROWS(F$4:F37)&lt;=F$1,F$1&lt;&gt;""),INDEX($A$4:$A$99,_xlfn.AGGREGATE(15,3,($B$4:$B$99=F$3)/($B$4:$B$99=F$3)*(ROW($B$4:$B$99))-ROW($A$4)+1,ROWS(F$4:F37))),""),"")</f>
        <v/>
      </c>
      <c r="G37" s="31" t="str">
        <f>IFERROR(IF(AND(ROWS(G$4:G37)&lt;=G$1,G$1&lt;&gt;""),INDEX($A$4:$A$99,_xlfn.AGGREGATE(15,3,($B$4:$B$99=G$3)/($B$4:$B$99=G$3)*(ROW($B$4:$B$99))-ROW($A$4)+1,ROWS(G$4:G37))),""),"")</f>
        <v/>
      </c>
      <c r="H37" s="31" t="str">
        <f>IFERROR(IF(AND(ROWS(H$4:H37)&lt;=H$1,H$1&lt;&gt;""),INDEX($A$4:$A$99,_xlfn.AGGREGATE(15,3,($B$4:$B$99=H$3)/($B$4:$B$99=H$3)*(ROW($B$4:$B$99))-ROW($A$4)+1,ROWS(H$4:H37))),""),"")</f>
        <v/>
      </c>
      <c r="I37" s="31" t="str">
        <f>IFERROR(IF(AND(ROWS(I$4:I37)&lt;=I$1,I$1&lt;&gt;""),INDEX($A$4:$A$99,_xlfn.AGGREGATE(15,3,($B$4:$B$99=I$3)/($B$4:$B$99=I$3)*(ROW($B$4:$B$99))-ROW($A$4)+1,ROWS(I$4:I37))),""),"")</f>
        <v/>
      </c>
      <c r="J37" s="31" t="str">
        <f>IFERROR(IF(AND(ROWS(J$4:J37)&lt;=J$1,J$1&lt;&gt;""),INDEX($A$4:$A$99,_xlfn.AGGREGATE(15,3,($B$4:$B$99=J$3)/($B$4:$B$99=J$3)*(ROW($B$4:$B$99))-ROW($A$4)+1,ROWS(J$4:J37))),""),"")</f>
        <v/>
      </c>
      <c r="K37" s="31" t="str">
        <f>IFERROR(IF(AND(ROWS(K$4:K37)&lt;=K$1,K$1&lt;&gt;""),INDEX($A$4:$A$99,_xlfn.AGGREGATE(15,3,($B$4:$B$99=K$3)/($B$4:$B$99=K$3)*(ROW($B$4:$B$99))-ROW($A$4)+1,ROWS(K$4:K37))),""),"")</f>
        <v/>
      </c>
      <c r="L37" s="36" t="str">
        <f>IFERROR(IF(AND(ROWS(L$4:L37)&lt;=L$1,L$1&lt;&gt;""),INDEX($A$4:$A$99,_xlfn.AGGREGATE(15,3,($B$4:$B$99=L$3)/($B$4:$B$99=L$3)*(ROW($B$4:$B$99))-ROW($A$4)+1,ROWS(L$4:L37))),""),"")</f>
        <v/>
      </c>
    </row>
    <row r="38" spans="1:12" x14ac:dyDescent="0.2">
      <c r="A38" t="str">
        <f>combined!M13</f>
        <v>5C-35</v>
      </c>
      <c r="B38" t="str">
        <f>combined!N13</f>
        <v/>
      </c>
      <c r="D38" s="35" t="str">
        <f>IFERROR(IF(AND(ROWS(D$4:D38)&lt;=D$1,D$1&lt;&gt;""),INDEX($A$4:$A$99,_xlfn.AGGREGATE(15,3,($B$4:$B$99=D$3)/($B$4:$B$99=D$3)*(ROW($B$4:$B$99))-ROW($A$4)+1,ROWS(D$4:D38))),""),"")</f>
        <v/>
      </c>
      <c r="E38" s="31" t="str">
        <f>IFERROR(IF(AND(ROWS(E$4:E38)&lt;=E$1,E$1&lt;&gt;""),INDEX($A$4:$A$99,_xlfn.AGGREGATE(15,3,($B$4:$B$99=E$3)/($B$4:$B$99=E$3)*(ROW($B$4:$B$99))-ROW($A$4)+1,ROWS(E$4:E38))),""),"")</f>
        <v/>
      </c>
      <c r="F38" s="31" t="str">
        <f>IFERROR(IF(AND(ROWS(F$4:F38)&lt;=F$1,F$1&lt;&gt;""),INDEX($A$4:$A$99,_xlfn.AGGREGATE(15,3,($B$4:$B$99=F$3)/($B$4:$B$99=F$3)*(ROW($B$4:$B$99))-ROW($A$4)+1,ROWS(F$4:F38))),""),"")</f>
        <v/>
      </c>
      <c r="G38" s="31" t="str">
        <f>IFERROR(IF(AND(ROWS(G$4:G38)&lt;=G$1,G$1&lt;&gt;""),INDEX($A$4:$A$99,_xlfn.AGGREGATE(15,3,($B$4:$B$99=G$3)/($B$4:$B$99=G$3)*(ROW($B$4:$B$99))-ROW($A$4)+1,ROWS(G$4:G38))),""),"")</f>
        <v/>
      </c>
      <c r="H38" s="31" t="str">
        <f>IFERROR(IF(AND(ROWS(H$4:H38)&lt;=H$1,H$1&lt;&gt;""),INDEX($A$4:$A$99,_xlfn.AGGREGATE(15,3,($B$4:$B$99=H$3)/($B$4:$B$99=H$3)*(ROW($B$4:$B$99))-ROW($A$4)+1,ROWS(H$4:H38))),""),"")</f>
        <v/>
      </c>
      <c r="I38" s="31" t="str">
        <f>IFERROR(IF(AND(ROWS(I$4:I38)&lt;=I$1,I$1&lt;&gt;""),INDEX($A$4:$A$99,_xlfn.AGGREGATE(15,3,($B$4:$B$99=I$3)/($B$4:$B$99=I$3)*(ROW($B$4:$B$99))-ROW($A$4)+1,ROWS(I$4:I38))),""),"")</f>
        <v/>
      </c>
      <c r="J38" s="31" t="str">
        <f>IFERROR(IF(AND(ROWS(J$4:J38)&lt;=J$1,J$1&lt;&gt;""),INDEX($A$4:$A$99,_xlfn.AGGREGATE(15,3,($B$4:$B$99=J$3)/($B$4:$B$99=J$3)*(ROW($B$4:$B$99))-ROW($A$4)+1,ROWS(J$4:J38))),""),"")</f>
        <v/>
      </c>
      <c r="K38" s="31" t="str">
        <f>IFERROR(IF(AND(ROWS(K$4:K38)&lt;=K$1,K$1&lt;&gt;""),INDEX($A$4:$A$99,_xlfn.AGGREGATE(15,3,($B$4:$B$99=K$3)/($B$4:$B$99=K$3)*(ROW($B$4:$B$99))-ROW($A$4)+1,ROWS(K$4:K38))),""),"")</f>
        <v/>
      </c>
      <c r="L38" s="36" t="str">
        <f>IFERROR(IF(AND(ROWS(L$4:L38)&lt;=L$1,L$1&lt;&gt;""),INDEX($A$4:$A$99,_xlfn.AGGREGATE(15,3,($B$4:$B$99=L$3)/($B$4:$B$99=L$3)*(ROW($B$4:$B$99))-ROW($A$4)+1,ROWS(L$4:L38))),""),"")</f>
        <v/>
      </c>
    </row>
    <row r="39" spans="1:12" x14ac:dyDescent="0.2">
      <c r="A39" t="str">
        <f>combined!M14</f>
        <v>5D-36</v>
      </c>
      <c r="B39" t="str">
        <f>combined!N14</f>
        <v/>
      </c>
      <c r="D39" s="35" t="str">
        <f>IFERROR(IF(AND(ROWS(D$4:D39)&lt;=D$1,D$1&lt;&gt;""),INDEX($A$4:$A$99,_xlfn.AGGREGATE(15,3,($B$4:$B$99=D$3)/($B$4:$B$99=D$3)*(ROW($B$4:$B$99))-ROW($A$4)+1,ROWS(D$4:D39))),""),"")</f>
        <v/>
      </c>
      <c r="E39" s="31" t="str">
        <f>IFERROR(IF(AND(ROWS(E$4:E39)&lt;=E$1,E$1&lt;&gt;""),INDEX($A$4:$A$99,_xlfn.AGGREGATE(15,3,($B$4:$B$99=E$3)/($B$4:$B$99=E$3)*(ROW($B$4:$B$99))-ROW($A$4)+1,ROWS(E$4:E39))),""),"")</f>
        <v/>
      </c>
      <c r="F39" s="31" t="str">
        <f>IFERROR(IF(AND(ROWS(F$4:F39)&lt;=F$1,F$1&lt;&gt;""),INDEX($A$4:$A$99,_xlfn.AGGREGATE(15,3,($B$4:$B$99=F$3)/($B$4:$B$99=F$3)*(ROW($B$4:$B$99))-ROW($A$4)+1,ROWS(F$4:F39))),""),"")</f>
        <v/>
      </c>
      <c r="G39" s="31" t="str">
        <f>IFERROR(IF(AND(ROWS(G$4:G39)&lt;=G$1,G$1&lt;&gt;""),INDEX($A$4:$A$99,_xlfn.AGGREGATE(15,3,($B$4:$B$99=G$3)/($B$4:$B$99=G$3)*(ROW($B$4:$B$99))-ROW($A$4)+1,ROWS(G$4:G39))),""),"")</f>
        <v/>
      </c>
      <c r="H39" s="31" t="str">
        <f>IFERROR(IF(AND(ROWS(H$4:H39)&lt;=H$1,H$1&lt;&gt;""),INDEX($A$4:$A$99,_xlfn.AGGREGATE(15,3,($B$4:$B$99=H$3)/($B$4:$B$99=H$3)*(ROW($B$4:$B$99))-ROW($A$4)+1,ROWS(H$4:H39))),""),"")</f>
        <v/>
      </c>
      <c r="I39" s="31" t="str">
        <f>IFERROR(IF(AND(ROWS(I$4:I39)&lt;=I$1,I$1&lt;&gt;""),INDEX($A$4:$A$99,_xlfn.AGGREGATE(15,3,($B$4:$B$99=I$3)/($B$4:$B$99=I$3)*(ROW($B$4:$B$99))-ROW($A$4)+1,ROWS(I$4:I39))),""),"")</f>
        <v/>
      </c>
      <c r="J39" s="31" t="str">
        <f>IFERROR(IF(AND(ROWS(J$4:J39)&lt;=J$1,J$1&lt;&gt;""),INDEX($A$4:$A$99,_xlfn.AGGREGATE(15,3,($B$4:$B$99=J$3)/($B$4:$B$99=J$3)*(ROW($B$4:$B$99))-ROW($A$4)+1,ROWS(J$4:J39))),""),"")</f>
        <v/>
      </c>
      <c r="K39" s="31" t="str">
        <f>IFERROR(IF(AND(ROWS(K$4:K39)&lt;=K$1,K$1&lt;&gt;""),INDEX($A$4:$A$99,_xlfn.AGGREGATE(15,3,($B$4:$B$99=K$3)/($B$4:$B$99=K$3)*(ROW($B$4:$B$99))-ROW($A$4)+1,ROWS(K$4:K39))),""),"")</f>
        <v/>
      </c>
      <c r="L39" s="36" t="str">
        <f>IFERROR(IF(AND(ROWS(L$4:L39)&lt;=L$1,L$1&lt;&gt;""),INDEX($A$4:$A$99,_xlfn.AGGREGATE(15,3,($B$4:$B$99=L$3)/($B$4:$B$99=L$3)*(ROW($B$4:$B$99))-ROW($A$4)+1,ROWS(L$4:L39))),""),"")</f>
        <v/>
      </c>
    </row>
    <row r="40" spans="1:12" x14ac:dyDescent="0.2">
      <c r="A40" t="str">
        <f>combined!M15</f>
        <v>5E-37</v>
      </c>
      <c r="B40" t="str">
        <f>combined!N15</f>
        <v/>
      </c>
      <c r="D40" s="35" t="str">
        <f>IFERROR(IF(AND(ROWS(D$4:D40)&lt;=D$1,D$1&lt;&gt;""),INDEX($A$4:$A$99,_xlfn.AGGREGATE(15,3,($B$4:$B$99=D$3)/($B$4:$B$99=D$3)*(ROW($B$4:$B$99))-ROW($A$4)+1,ROWS(D$4:D40))),""),"")</f>
        <v/>
      </c>
      <c r="E40" s="31" t="str">
        <f>IFERROR(IF(AND(ROWS(E$4:E40)&lt;=E$1,E$1&lt;&gt;""),INDEX($A$4:$A$99,_xlfn.AGGREGATE(15,3,($B$4:$B$99=E$3)/($B$4:$B$99=E$3)*(ROW($B$4:$B$99))-ROW($A$4)+1,ROWS(E$4:E40))),""),"")</f>
        <v/>
      </c>
      <c r="F40" s="31" t="str">
        <f>IFERROR(IF(AND(ROWS(F$4:F40)&lt;=F$1,F$1&lt;&gt;""),INDEX($A$4:$A$99,_xlfn.AGGREGATE(15,3,($B$4:$B$99=F$3)/($B$4:$B$99=F$3)*(ROW($B$4:$B$99))-ROW($A$4)+1,ROWS(F$4:F40))),""),"")</f>
        <v/>
      </c>
      <c r="G40" s="31" t="str">
        <f>IFERROR(IF(AND(ROWS(G$4:G40)&lt;=G$1,G$1&lt;&gt;""),INDEX($A$4:$A$99,_xlfn.AGGREGATE(15,3,($B$4:$B$99=G$3)/($B$4:$B$99=G$3)*(ROW($B$4:$B$99))-ROW($A$4)+1,ROWS(G$4:G40))),""),"")</f>
        <v/>
      </c>
      <c r="H40" s="31" t="str">
        <f>IFERROR(IF(AND(ROWS(H$4:H40)&lt;=H$1,H$1&lt;&gt;""),INDEX($A$4:$A$99,_xlfn.AGGREGATE(15,3,($B$4:$B$99=H$3)/($B$4:$B$99=H$3)*(ROW($B$4:$B$99))-ROW($A$4)+1,ROWS(H$4:H40))),""),"")</f>
        <v/>
      </c>
      <c r="I40" s="31" t="str">
        <f>IFERROR(IF(AND(ROWS(I$4:I40)&lt;=I$1,I$1&lt;&gt;""),INDEX($A$4:$A$99,_xlfn.AGGREGATE(15,3,($B$4:$B$99=I$3)/($B$4:$B$99=I$3)*(ROW($B$4:$B$99))-ROW($A$4)+1,ROWS(I$4:I40))),""),"")</f>
        <v/>
      </c>
      <c r="J40" s="31" t="str">
        <f>IFERROR(IF(AND(ROWS(J$4:J40)&lt;=J$1,J$1&lt;&gt;""),INDEX($A$4:$A$99,_xlfn.AGGREGATE(15,3,($B$4:$B$99=J$3)/($B$4:$B$99=J$3)*(ROW($B$4:$B$99))-ROW($A$4)+1,ROWS(J$4:J40))),""),"")</f>
        <v/>
      </c>
      <c r="K40" s="31" t="str">
        <f>IFERROR(IF(AND(ROWS(K$4:K40)&lt;=K$1,K$1&lt;&gt;""),INDEX($A$4:$A$99,_xlfn.AGGREGATE(15,3,($B$4:$B$99=K$3)/($B$4:$B$99=K$3)*(ROW($B$4:$B$99))-ROW($A$4)+1,ROWS(K$4:K40))),""),"")</f>
        <v/>
      </c>
      <c r="L40" s="36" t="str">
        <f>IFERROR(IF(AND(ROWS(L$4:L40)&lt;=L$1,L$1&lt;&gt;""),INDEX($A$4:$A$99,_xlfn.AGGREGATE(15,3,($B$4:$B$99=L$3)/($B$4:$B$99=L$3)*(ROW($B$4:$B$99))-ROW($A$4)+1,ROWS(L$4:L40))),""),"")</f>
        <v/>
      </c>
    </row>
    <row r="41" spans="1:12" x14ac:dyDescent="0.2">
      <c r="A41" t="str">
        <f>combined!M16</f>
        <v>5F-38</v>
      </c>
      <c r="B41" t="str">
        <f>combined!N16</f>
        <v/>
      </c>
      <c r="D41" s="35" t="str">
        <f>IFERROR(IF(AND(ROWS(D$4:D41)&lt;=D$1,D$1&lt;&gt;""),INDEX($A$4:$A$99,_xlfn.AGGREGATE(15,3,($B$4:$B$99=D$3)/($B$4:$B$99=D$3)*(ROW($B$4:$B$99))-ROW($A$4)+1,ROWS(D$4:D41))),""),"")</f>
        <v/>
      </c>
      <c r="E41" s="31" t="str">
        <f>IFERROR(IF(AND(ROWS(E$4:E41)&lt;=E$1,E$1&lt;&gt;""),INDEX($A$4:$A$99,_xlfn.AGGREGATE(15,3,($B$4:$B$99=E$3)/($B$4:$B$99=E$3)*(ROW($B$4:$B$99))-ROW($A$4)+1,ROWS(E$4:E41))),""),"")</f>
        <v/>
      </c>
      <c r="F41" s="31" t="str">
        <f>IFERROR(IF(AND(ROWS(F$4:F41)&lt;=F$1,F$1&lt;&gt;""),INDEX($A$4:$A$99,_xlfn.AGGREGATE(15,3,($B$4:$B$99=F$3)/($B$4:$B$99=F$3)*(ROW($B$4:$B$99))-ROW($A$4)+1,ROWS(F$4:F41))),""),"")</f>
        <v/>
      </c>
      <c r="G41" s="31" t="str">
        <f>IFERROR(IF(AND(ROWS(G$4:G41)&lt;=G$1,G$1&lt;&gt;""),INDEX($A$4:$A$99,_xlfn.AGGREGATE(15,3,($B$4:$B$99=G$3)/($B$4:$B$99=G$3)*(ROW($B$4:$B$99))-ROW($A$4)+1,ROWS(G$4:G41))),""),"")</f>
        <v/>
      </c>
      <c r="H41" s="31" t="str">
        <f>IFERROR(IF(AND(ROWS(H$4:H41)&lt;=H$1,H$1&lt;&gt;""),INDEX($A$4:$A$99,_xlfn.AGGREGATE(15,3,($B$4:$B$99=H$3)/($B$4:$B$99=H$3)*(ROW($B$4:$B$99))-ROW($A$4)+1,ROWS(H$4:H41))),""),"")</f>
        <v/>
      </c>
      <c r="I41" s="31" t="str">
        <f>IFERROR(IF(AND(ROWS(I$4:I41)&lt;=I$1,I$1&lt;&gt;""),INDEX($A$4:$A$99,_xlfn.AGGREGATE(15,3,($B$4:$B$99=I$3)/($B$4:$B$99=I$3)*(ROW($B$4:$B$99))-ROW($A$4)+1,ROWS(I$4:I41))),""),"")</f>
        <v/>
      </c>
      <c r="J41" s="31" t="str">
        <f>IFERROR(IF(AND(ROWS(J$4:J41)&lt;=J$1,J$1&lt;&gt;""),INDEX($A$4:$A$99,_xlfn.AGGREGATE(15,3,($B$4:$B$99=J$3)/($B$4:$B$99=J$3)*(ROW($B$4:$B$99))-ROW($A$4)+1,ROWS(J$4:J41))),""),"")</f>
        <v/>
      </c>
      <c r="K41" s="31" t="str">
        <f>IFERROR(IF(AND(ROWS(K$4:K41)&lt;=K$1,K$1&lt;&gt;""),INDEX($A$4:$A$99,_xlfn.AGGREGATE(15,3,($B$4:$B$99=K$3)/($B$4:$B$99=K$3)*(ROW($B$4:$B$99))-ROW($A$4)+1,ROWS(K$4:K41))),""),"")</f>
        <v/>
      </c>
      <c r="L41" s="36" t="str">
        <f>IFERROR(IF(AND(ROWS(L$4:L41)&lt;=L$1,L$1&lt;&gt;""),INDEX($A$4:$A$99,_xlfn.AGGREGATE(15,3,($B$4:$B$99=L$3)/($B$4:$B$99=L$3)*(ROW($B$4:$B$99))-ROW($A$4)+1,ROWS(L$4:L41))),""),"")</f>
        <v/>
      </c>
    </row>
    <row r="42" spans="1:12" x14ac:dyDescent="0.2">
      <c r="A42" t="str">
        <f>combined!M17</f>
        <v>5G-39</v>
      </c>
      <c r="B42" t="str">
        <f>combined!N17</f>
        <v/>
      </c>
      <c r="D42" s="35" t="str">
        <f>IFERROR(IF(AND(ROWS(D$4:D42)&lt;=D$1,D$1&lt;&gt;""),INDEX($A$4:$A$99,_xlfn.AGGREGATE(15,3,($B$4:$B$99=D$3)/($B$4:$B$99=D$3)*(ROW($B$4:$B$99))-ROW($A$4)+1,ROWS(D$4:D42))),""),"")</f>
        <v/>
      </c>
      <c r="E42" s="31" t="str">
        <f>IFERROR(IF(AND(ROWS(E$4:E42)&lt;=E$1,E$1&lt;&gt;""),INDEX($A$4:$A$99,_xlfn.AGGREGATE(15,3,($B$4:$B$99=E$3)/($B$4:$B$99=E$3)*(ROW($B$4:$B$99))-ROW($A$4)+1,ROWS(E$4:E42))),""),"")</f>
        <v/>
      </c>
      <c r="F42" s="31" t="str">
        <f>IFERROR(IF(AND(ROWS(F$4:F42)&lt;=F$1,F$1&lt;&gt;""),INDEX($A$4:$A$99,_xlfn.AGGREGATE(15,3,($B$4:$B$99=F$3)/($B$4:$B$99=F$3)*(ROW($B$4:$B$99))-ROW($A$4)+1,ROWS(F$4:F42))),""),"")</f>
        <v/>
      </c>
      <c r="G42" s="31" t="str">
        <f>IFERROR(IF(AND(ROWS(G$4:G42)&lt;=G$1,G$1&lt;&gt;""),INDEX($A$4:$A$99,_xlfn.AGGREGATE(15,3,($B$4:$B$99=G$3)/($B$4:$B$99=G$3)*(ROW($B$4:$B$99))-ROW($A$4)+1,ROWS(G$4:G42))),""),"")</f>
        <v/>
      </c>
      <c r="H42" s="31" t="str">
        <f>IFERROR(IF(AND(ROWS(H$4:H42)&lt;=H$1,H$1&lt;&gt;""),INDEX($A$4:$A$99,_xlfn.AGGREGATE(15,3,($B$4:$B$99=H$3)/($B$4:$B$99=H$3)*(ROW($B$4:$B$99))-ROW($A$4)+1,ROWS(H$4:H42))),""),"")</f>
        <v/>
      </c>
      <c r="I42" s="31" t="str">
        <f>IFERROR(IF(AND(ROWS(I$4:I42)&lt;=I$1,I$1&lt;&gt;""),INDEX($A$4:$A$99,_xlfn.AGGREGATE(15,3,($B$4:$B$99=I$3)/($B$4:$B$99=I$3)*(ROW($B$4:$B$99))-ROW($A$4)+1,ROWS(I$4:I42))),""),"")</f>
        <v/>
      </c>
      <c r="J42" s="31" t="str">
        <f>IFERROR(IF(AND(ROWS(J$4:J42)&lt;=J$1,J$1&lt;&gt;""),INDEX($A$4:$A$99,_xlfn.AGGREGATE(15,3,($B$4:$B$99=J$3)/($B$4:$B$99=J$3)*(ROW($B$4:$B$99))-ROW($A$4)+1,ROWS(J$4:J42))),""),"")</f>
        <v/>
      </c>
      <c r="K42" s="31" t="str">
        <f>IFERROR(IF(AND(ROWS(K$4:K42)&lt;=K$1,K$1&lt;&gt;""),INDEX($A$4:$A$99,_xlfn.AGGREGATE(15,3,($B$4:$B$99=K$3)/($B$4:$B$99=K$3)*(ROW($B$4:$B$99))-ROW($A$4)+1,ROWS(K$4:K42))),""),"")</f>
        <v/>
      </c>
      <c r="L42" s="36" t="str">
        <f>IFERROR(IF(AND(ROWS(L$4:L42)&lt;=L$1,L$1&lt;&gt;""),INDEX($A$4:$A$99,_xlfn.AGGREGATE(15,3,($B$4:$B$99=L$3)/($B$4:$B$99=L$3)*(ROW($B$4:$B$99))-ROW($A$4)+1,ROWS(L$4:L42))),""),"")</f>
        <v/>
      </c>
    </row>
    <row r="43" spans="1:12" x14ac:dyDescent="0.2">
      <c r="A43" t="str">
        <f>combined!M18</f>
        <v>5H-40</v>
      </c>
      <c r="B43" t="str">
        <f>combined!N18</f>
        <v/>
      </c>
      <c r="D43" s="35" t="str">
        <f>IFERROR(IF(AND(ROWS(D$4:D43)&lt;=D$1,D$1&lt;&gt;""),INDEX($A$4:$A$99,_xlfn.AGGREGATE(15,3,($B$4:$B$99=D$3)/($B$4:$B$99=D$3)*(ROW($B$4:$B$99))-ROW($A$4)+1,ROWS(D$4:D43))),""),"")</f>
        <v/>
      </c>
      <c r="E43" s="31" t="str">
        <f>IFERROR(IF(AND(ROWS(E$4:E43)&lt;=E$1,E$1&lt;&gt;""),INDEX($A$4:$A$99,_xlfn.AGGREGATE(15,3,($B$4:$B$99=E$3)/($B$4:$B$99=E$3)*(ROW($B$4:$B$99))-ROW($A$4)+1,ROWS(E$4:E43))),""),"")</f>
        <v/>
      </c>
      <c r="F43" s="31" t="str">
        <f>IFERROR(IF(AND(ROWS(F$4:F43)&lt;=F$1,F$1&lt;&gt;""),INDEX($A$4:$A$99,_xlfn.AGGREGATE(15,3,($B$4:$B$99=F$3)/($B$4:$B$99=F$3)*(ROW($B$4:$B$99))-ROW($A$4)+1,ROWS(F$4:F43))),""),"")</f>
        <v/>
      </c>
      <c r="G43" s="31" t="str">
        <f>IFERROR(IF(AND(ROWS(G$4:G43)&lt;=G$1,G$1&lt;&gt;""),INDEX($A$4:$A$99,_xlfn.AGGREGATE(15,3,($B$4:$B$99=G$3)/($B$4:$B$99=G$3)*(ROW($B$4:$B$99))-ROW($A$4)+1,ROWS(G$4:G43))),""),"")</f>
        <v/>
      </c>
      <c r="H43" s="31" t="str">
        <f>IFERROR(IF(AND(ROWS(H$4:H43)&lt;=H$1,H$1&lt;&gt;""),INDEX($A$4:$A$99,_xlfn.AGGREGATE(15,3,($B$4:$B$99=H$3)/($B$4:$B$99=H$3)*(ROW($B$4:$B$99))-ROW($A$4)+1,ROWS(H$4:H43))),""),"")</f>
        <v/>
      </c>
      <c r="I43" s="31" t="str">
        <f>IFERROR(IF(AND(ROWS(I$4:I43)&lt;=I$1,I$1&lt;&gt;""),INDEX($A$4:$A$99,_xlfn.AGGREGATE(15,3,($B$4:$B$99=I$3)/($B$4:$B$99=I$3)*(ROW($B$4:$B$99))-ROW($A$4)+1,ROWS(I$4:I43))),""),"")</f>
        <v/>
      </c>
      <c r="J43" s="31" t="str">
        <f>IFERROR(IF(AND(ROWS(J$4:J43)&lt;=J$1,J$1&lt;&gt;""),INDEX($A$4:$A$99,_xlfn.AGGREGATE(15,3,($B$4:$B$99=J$3)/($B$4:$B$99=J$3)*(ROW($B$4:$B$99))-ROW($A$4)+1,ROWS(J$4:J43))),""),"")</f>
        <v/>
      </c>
      <c r="K43" s="31" t="str">
        <f>IFERROR(IF(AND(ROWS(K$4:K43)&lt;=K$1,K$1&lt;&gt;""),INDEX($A$4:$A$99,_xlfn.AGGREGATE(15,3,($B$4:$B$99=K$3)/($B$4:$B$99=K$3)*(ROW($B$4:$B$99))-ROW($A$4)+1,ROWS(K$4:K43))),""),"")</f>
        <v/>
      </c>
      <c r="L43" s="36" t="str">
        <f>IFERROR(IF(AND(ROWS(L$4:L43)&lt;=L$1,L$1&lt;&gt;""),INDEX($A$4:$A$99,_xlfn.AGGREGATE(15,3,($B$4:$B$99=L$3)/($B$4:$B$99=L$3)*(ROW($B$4:$B$99))-ROW($A$4)+1,ROWS(L$4:L43))),""),"")</f>
        <v/>
      </c>
    </row>
    <row r="44" spans="1:12" ht="17" thickBot="1" x14ac:dyDescent="0.25">
      <c r="A44" t="str">
        <f>combined!M19</f>
        <v>6A-41</v>
      </c>
      <c r="B44" t="str">
        <f>combined!N19</f>
        <v/>
      </c>
      <c r="D44" s="37" t="str">
        <f>IFERROR(IF(AND(ROWS(D$4:D44)&lt;=D$1,D$1&lt;&gt;""),INDEX($A$4:$A$99,_xlfn.AGGREGATE(15,3,($B$4:$B$99=D$3)/($B$4:$B$99=D$3)*(ROW($B$4:$B$99))-ROW($A$4)+1,ROWS(D$4:D44))),""),"")</f>
        <v/>
      </c>
      <c r="E44" s="38" t="str">
        <f>IFERROR(IF(AND(ROWS(E$4:E44)&lt;=E$1,E$1&lt;&gt;""),INDEX($A$4:$A$99,_xlfn.AGGREGATE(15,3,($B$4:$B$99=E$3)/($B$4:$B$99=E$3)*(ROW($B$4:$B$99))-ROW($A$4)+1,ROWS(E$4:E44))),""),"")</f>
        <v/>
      </c>
      <c r="F44" s="38" t="str">
        <f>IFERROR(IF(AND(ROWS(F$4:F44)&lt;=F$1,F$1&lt;&gt;""),INDEX($A$4:$A$99,_xlfn.AGGREGATE(15,3,($B$4:$B$99=F$3)/($B$4:$B$99=F$3)*(ROW($B$4:$B$99))-ROW($A$4)+1,ROWS(F$4:F44))),""),"")</f>
        <v/>
      </c>
      <c r="G44" s="38" t="str">
        <f>IFERROR(IF(AND(ROWS(G$4:G44)&lt;=G$1,G$1&lt;&gt;""),INDEX($A$4:$A$99,_xlfn.AGGREGATE(15,3,($B$4:$B$99=G$3)/($B$4:$B$99=G$3)*(ROW($B$4:$B$99))-ROW($A$4)+1,ROWS(G$4:G44))),""),"")</f>
        <v/>
      </c>
      <c r="H44" s="38" t="str">
        <f>IFERROR(IF(AND(ROWS(H$4:H44)&lt;=H$1,H$1&lt;&gt;""),INDEX($A$4:$A$99,_xlfn.AGGREGATE(15,3,($B$4:$B$99=H$3)/($B$4:$B$99=H$3)*(ROW($B$4:$B$99))-ROW($A$4)+1,ROWS(H$4:H44))),""),"")</f>
        <v/>
      </c>
      <c r="I44" s="38" t="str">
        <f>IFERROR(IF(AND(ROWS(I$4:I44)&lt;=I$1,I$1&lt;&gt;""),INDEX($A$4:$A$99,_xlfn.AGGREGATE(15,3,($B$4:$B$99=I$3)/($B$4:$B$99=I$3)*(ROW($B$4:$B$99))-ROW($A$4)+1,ROWS(I$4:I44))),""),"")</f>
        <v/>
      </c>
      <c r="J44" s="38" t="str">
        <f>IFERROR(IF(AND(ROWS(J$4:J44)&lt;=J$1,J$1&lt;&gt;""),INDEX($A$4:$A$99,_xlfn.AGGREGATE(15,3,($B$4:$B$99=J$3)/($B$4:$B$99=J$3)*(ROW($B$4:$B$99))-ROW($A$4)+1,ROWS(J$4:J44))),""),"")</f>
        <v/>
      </c>
      <c r="K44" s="38" t="str">
        <f>IFERROR(IF(AND(ROWS(K$4:K44)&lt;=K$1,K$1&lt;&gt;""),INDEX($A$4:$A$99,_xlfn.AGGREGATE(15,3,($B$4:$B$99=K$3)/($B$4:$B$99=K$3)*(ROW($B$4:$B$99))-ROW($A$4)+1,ROWS(K$4:K44))),""),"")</f>
        <v/>
      </c>
      <c r="L44" s="39" t="str">
        <f>IFERROR(IF(AND(ROWS(L$4:L44)&lt;=L$1,L$1&lt;&gt;""),INDEX($A$4:$A$99,_xlfn.AGGREGATE(15,3,($B$4:$B$99=L$3)/($B$4:$B$99=L$3)*(ROW($B$4:$B$99))-ROW($A$4)+1,ROWS(L$4:L44))),""),"")</f>
        <v/>
      </c>
    </row>
    <row r="45" spans="1:12" x14ac:dyDescent="0.2">
      <c r="A45" t="str">
        <f>combined!M20</f>
        <v>6B-42</v>
      </c>
      <c r="B45" t="str">
        <f>combined!N20</f>
        <v/>
      </c>
      <c r="D45" t="str">
        <f>IFERROR(IF(AND(ROWS(D$4:D45)&lt;=D$1,D$1&lt;&gt;""),INDEX($A$4:$A$99,_xlfn.AGGREGATE(15,3,($B$4:$B$99=D$3)/($B$4:$B$99=D$3)*(ROW($B$4:$B$99))-ROW($A$4)+1,ROWS(D$4:D45))),""),"")</f>
        <v/>
      </c>
      <c r="E45" t="str">
        <f>IFERROR(IF(AND(ROWS(E$4:E45)&lt;=E$1,E$1&lt;&gt;""),INDEX($A$4:$A$99,_xlfn.AGGREGATE(15,3,($B$4:$B$99=E$3)/($B$4:$B$99=E$3)*(ROW($B$4:$B$99))-ROW($A$4)+1,ROWS(E$4:E45))),""),"")</f>
        <v/>
      </c>
      <c r="F45" t="str">
        <f>IFERROR(IF(AND(ROWS(F$4:F45)&lt;=F$1,F$1&lt;&gt;""),INDEX($A$4:$A$99,_xlfn.AGGREGATE(15,3,($B$4:$B$99=F$3)/($B$4:$B$99=F$3)*(ROW($B$4:$B$99))-ROW($A$4)+1,ROWS(F$4:F45))),""),"")</f>
        <v/>
      </c>
      <c r="G45" t="str">
        <f>IFERROR(IF(AND(ROWS(G$4:G45)&lt;=G$1,G$1&lt;&gt;""),INDEX($A$4:$A$99,_xlfn.AGGREGATE(15,3,($B$4:$B$99=G$3)/($B$4:$B$99=G$3)*(ROW($B$4:$B$99))-ROW($A$4)+1,ROWS(G$4:G45))),""),"")</f>
        <v/>
      </c>
      <c r="H45" t="str">
        <f>IFERROR(IF(AND(ROWS(H$4:H45)&lt;=H$1,H$1&lt;&gt;""),INDEX($A$4:$A$99,_xlfn.AGGREGATE(15,3,($B$4:$B$99=H$3)/($B$4:$B$99=H$3)*(ROW($B$4:$B$99))-ROW($A$4)+1,ROWS(H$4:H45))),""),"")</f>
        <v/>
      </c>
      <c r="I45" t="str">
        <f>IFERROR(IF(AND(ROWS(I$4:I45)&lt;=I$1,I$1&lt;&gt;""),INDEX($A$4:$A$99,_xlfn.AGGREGATE(15,3,($B$4:$B$99=I$3)/($B$4:$B$99=I$3)*(ROW($B$4:$B$99))-ROW($A$4)+1,ROWS(I$4:I45))),""),"")</f>
        <v/>
      </c>
      <c r="J45" t="str">
        <f>IFERROR(IF(AND(ROWS(J$4:J45)&lt;=J$1,J$1&lt;&gt;""),INDEX($A$4:$A$99,_xlfn.AGGREGATE(15,3,($B$4:$B$99=J$3)/($B$4:$B$99=J$3)*(ROW($B$4:$B$99))-ROW($A$4)+1,ROWS(J$4:J45))),""),"")</f>
        <v/>
      </c>
      <c r="K45" t="str">
        <f>IFERROR(IF(AND(ROWS(K$4:K45)&lt;=K$1,K$1&lt;&gt;""),INDEX($A$4:$A$99,_xlfn.AGGREGATE(15,3,($B$4:$B$99=K$3)/($B$4:$B$99=K$3)*(ROW($B$4:$B$99))-ROW($A$4)+1,ROWS(K$4:K45))),""),"")</f>
        <v/>
      </c>
      <c r="L45" t="str">
        <f>IFERROR(IF(AND(ROWS(L$4:L45)&lt;=L$1,L$1&lt;&gt;""),INDEX($A$4:$A$99,_xlfn.AGGREGATE(15,3,($B$4:$B$99=L$3)/($B$4:$B$99=L$3)*(ROW($B$4:$B$99))-ROW($A$4)+1,ROWS(L$4:L45))),""),"")</f>
        <v/>
      </c>
    </row>
    <row r="46" spans="1:12" x14ac:dyDescent="0.2">
      <c r="A46" t="str">
        <f>combined!M21</f>
        <v>6C-43</v>
      </c>
      <c r="B46" t="str">
        <f>combined!N21</f>
        <v/>
      </c>
      <c r="D46" t="str">
        <f>IFERROR(IF(AND(ROWS(D$4:D46)&lt;=D$1,D$1&lt;&gt;""),INDEX($A$4:$A$99,_xlfn.AGGREGATE(15,3,($B$4:$B$99=D$3)/($B$4:$B$99=D$3)*(ROW($B$4:$B$99))-ROW($A$4)+1,ROWS(D$4:D46))),""),"")</f>
        <v/>
      </c>
      <c r="E46" t="str">
        <f>IFERROR(IF(AND(ROWS(E$4:E46)&lt;=E$1,E$1&lt;&gt;""),INDEX($A$4:$A$99,_xlfn.AGGREGATE(15,3,($B$4:$B$99=E$3)/($B$4:$B$99=E$3)*(ROW($B$4:$B$99))-ROW($A$4)+1,ROWS(E$4:E46))),""),"")</f>
        <v/>
      </c>
      <c r="F46" t="str">
        <f>IFERROR(IF(AND(ROWS(F$4:F46)&lt;=F$1,F$1&lt;&gt;""),INDEX($A$4:$A$99,_xlfn.AGGREGATE(15,3,($B$4:$B$99=F$3)/($B$4:$B$99=F$3)*(ROW($B$4:$B$99))-ROW($A$4)+1,ROWS(F$4:F46))),""),"")</f>
        <v/>
      </c>
      <c r="G46" t="str">
        <f>IFERROR(IF(AND(ROWS(G$4:G46)&lt;=G$1,G$1&lt;&gt;""),INDEX($A$4:$A$99,_xlfn.AGGREGATE(15,3,($B$4:$B$99=G$3)/($B$4:$B$99=G$3)*(ROW($B$4:$B$99))-ROW($A$4)+1,ROWS(G$4:G46))),""),"")</f>
        <v/>
      </c>
      <c r="H46" t="str">
        <f>IFERROR(IF(AND(ROWS(H$4:H46)&lt;=H$1,H$1&lt;&gt;""),INDEX($A$4:$A$99,_xlfn.AGGREGATE(15,3,($B$4:$B$99=H$3)/($B$4:$B$99=H$3)*(ROW($B$4:$B$99))-ROW($A$4)+1,ROWS(H$4:H46))),""),"")</f>
        <v/>
      </c>
      <c r="I46" t="str">
        <f>IFERROR(IF(AND(ROWS(I$4:I46)&lt;=I$1,I$1&lt;&gt;""),INDEX($A$4:$A$99,_xlfn.AGGREGATE(15,3,($B$4:$B$99=I$3)/($B$4:$B$99=I$3)*(ROW($B$4:$B$99))-ROW($A$4)+1,ROWS(I$4:I46))),""),"")</f>
        <v/>
      </c>
      <c r="J46" t="str">
        <f>IFERROR(IF(AND(ROWS(J$4:J46)&lt;=J$1,J$1&lt;&gt;""),INDEX($A$4:$A$99,_xlfn.AGGREGATE(15,3,($B$4:$B$99=J$3)/($B$4:$B$99=J$3)*(ROW($B$4:$B$99))-ROW($A$4)+1,ROWS(J$4:J46))),""),"")</f>
        <v/>
      </c>
      <c r="K46" t="str">
        <f>IFERROR(IF(AND(ROWS(K$4:K46)&lt;=K$1,K$1&lt;&gt;""),INDEX($A$4:$A$99,_xlfn.AGGREGATE(15,3,($B$4:$B$99=K$3)/($B$4:$B$99=K$3)*(ROW($B$4:$B$99))-ROW($A$4)+1,ROWS(K$4:K46))),""),"")</f>
        <v/>
      </c>
      <c r="L46" t="str">
        <f>IFERROR(IF(AND(ROWS(L$4:L46)&lt;=L$1,L$1&lt;&gt;""),INDEX($A$4:$A$99,_xlfn.AGGREGATE(15,3,($B$4:$B$99=L$3)/($B$4:$B$99=L$3)*(ROW($B$4:$B$99))-ROW($A$4)+1,ROWS(L$4:L46))),""),"")</f>
        <v/>
      </c>
    </row>
    <row r="47" spans="1:12" x14ac:dyDescent="0.2">
      <c r="A47" t="str">
        <f>combined!M22</f>
        <v>6D-44</v>
      </c>
      <c r="B47" t="str">
        <f>combined!N22</f>
        <v/>
      </c>
      <c r="D47" t="str">
        <f>IFERROR(IF(AND(ROWS(D$4:D47)&lt;=D$1,D$1&lt;&gt;""),INDEX($A$4:$A$99,_xlfn.AGGREGATE(15,3,($B$4:$B$99=D$3)/($B$4:$B$99=D$3)*(ROW($B$4:$B$99))-ROW($A$4)+1,ROWS(D$4:D47))),""),"")</f>
        <v/>
      </c>
      <c r="E47" t="str">
        <f>IFERROR(IF(AND(ROWS(E$4:E47)&lt;=E$1,E$1&lt;&gt;""),INDEX($A$4:$A$99,_xlfn.AGGREGATE(15,3,($B$4:$B$99=E$3)/($B$4:$B$99=E$3)*(ROW($B$4:$B$99))-ROW($A$4)+1,ROWS(E$4:E47))),""),"")</f>
        <v/>
      </c>
      <c r="F47" t="str">
        <f>IFERROR(IF(AND(ROWS(F$4:F47)&lt;=F$1,F$1&lt;&gt;""),INDEX($A$4:$A$99,_xlfn.AGGREGATE(15,3,($B$4:$B$99=F$3)/($B$4:$B$99=F$3)*(ROW($B$4:$B$99))-ROW($A$4)+1,ROWS(F$4:F47))),""),"")</f>
        <v/>
      </c>
      <c r="G47" t="str">
        <f>IFERROR(IF(AND(ROWS(G$4:G47)&lt;=G$1,G$1&lt;&gt;""),INDEX($A$4:$A$99,_xlfn.AGGREGATE(15,3,($B$4:$B$99=G$3)/($B$4:$B$99=G$3)*(ROW($B$4:$B$99))-ROW($A$4)+1,ROWS(G$4:G47))),""),"")</f>
        <v/>
      </c>
      <c r="H47" t="str">
        <f>IFERROR(IF(AND(ROWS(H$4:H47)&lt;=H$1,H$1&lt;&gt;""),INDEX($A$4:$A$99,_xlfn.AGGREGATE(15,3,($B$4:$B$99=H$3)/($B$4:$B$99=H$3)*(ROW($B$4:$B$99))-ROW($A$4)+1,ROWS(H$4:H47))),""),"")</f>
        <v/>
      </c>
      <c r="I47" t="str">
        <f>IFERROR(IF(AND(ROWS(I$4:I47)&lt;=I$1,I$1&lt;&gt;""),INDEX($A$4:$A$99,_xlfn.AGGREGATE(15,3,($B$4:$B$99=I$3)/($B$4:$B$99=I$3)*(ROW($B$4:$B$99))-ROW($A$4)+1,ROWS(I$4:I47))),""),"")</f>
        <v/>
      </c>
      <c r="J47" t="str">
        <f>IFERROR(IF(AND(ROWS(J$4:J47)&lt;=J$1,J$1&lt;&gt;""),INDEX($A$4:$A$99,_xlfn.AGGREGATE(15,3,($B$4:$B$99=J$3)/($B$4:$B$99=J$3)*(ROW($B$4:$B$99))-ROW($A$4)+1,ROWS(J$4:J47))),""),"")</f>
        <v/>
      </c>
      <c r="K47" t="str">
        <f>IFERROR(IF(AND(ROWS(K$4:K47)&lt;=K$1,K$1&lt;&gt;""),INDEX($A$4:$A$99,_xlfn.AGGREGATE(15,3,($B$4:$B$99=K$3)/($B$4:$B$99=K$3)*(ROW($B$4:$B$99))-ROW($A$4)+1,ROWS(K$4:K47))),""),"")</f>
        <v/>
      </c>
      <c r="L47" t="str">
        <f>IFERROR(IF(AND(ROWS(L$4:L47)&lt;=L$1,L$1&lt;&gt;""),INDEX($A$4:$A$99,_xlfn.AGGREGATE(15,3,($B$4:$B$99=L$3)/($B$4:$B$99=L$3)*(ROW($B$4:$B$99))-ROW($A$4)+1,ROWS(L$4:L47))),""),"")</f>
        <v/>
      </c>
    </row>
    <row r="48" spans="1:12" x14ac:dyDescent="0.2">
      <c r="A48" t="str">
        <f>combined!M23</f>
        <v>6E-45</v>
      </c>
      <c r="B48" t="str">
        <f>combined!N23</f>
        <v/>
      </c>
      <c r="D48" t="str">
        <f>IFERROR(IF(AND(ROWS(D$4:D48)&lt;=D$1,D$1&lt;&gt;""),INDEX($A$4:$A$99,_xlfn.AGGREGATE(15,3,($B$4:$B$99=D$3)/($B$4:$B$99=D$3)*(ROW($B$4:$B$99))-ROW($A$4)+1,ROWS(D$4:D48))),""),"")</f>
        <v/>
      </c>
      <c r="E48" t="str">
        <f>IFERROR(IF(AND(ROWS(E$4:E48)&lt;=E$1,E$1&lt;&gt;""),INDEX($A$4:$A$99,_xlfn.AGGREGATE(15,3,($B$4:$B$99=E$3)/($B$4:$B$99=E$3)*(ROW($B$4:$B$99))-ROW($A$4)+1,ROWS(E$4:E48))),""),"")</f>
        <v/>
      </c>
      <c r="F48" t="str">
        <f>IFERROR(IF(AND(ROWS(F$4:F48)&lt;=F$1,F$1&lt;&gt;""),INDEX($A$4:$A$99,_xlfn.AGGREGATE(15,3,($B$4:$B$99=F$3)/($B$4:$B$99=F$3)*(ROW($B$4:$B$99))-ROW($A$4)+1,ROWS(F$4:F48))),""),"")</f>
        <v/>
      </c>
      <c r="G48" t="str">
        <f>IFERROR(IF(AND(ROWS(G$4:G48)&lt;=G$1,G$1&lt;&gt;""),INDEX($A$4:$A$99,_xlfn.AGGREGATE(15,3,($B$4:$B$99=G$3)/($B$4:$B$99=G$3)*(ROW($B$4:$B$99))-ROW($A$4)+1,ROWS(G$4:G48))),""),"")</f>
        <v/>
      </c>
      <c r="H48" t="str">
        <f>IFERROR(IF(AND(ROWS(H$4:H48)&lt;=H$1,H$1&lt;&gt;""),INDEX($A$4:$A$99,_xlfn.AGGREGATE(15,3,($B$4:$B$99=H$3)/($B$4:$B$99=H$3)*(ROW($B$4:$B$99))-ROW($A$4)+1,ROWS(H$4:H48))),""),"")</f>
        <v/>
      </c>
      <c r="I48" t="str">
        <f>IFERROR(IF(AND(ROWS(I$4:I48)&lt;=I$1,I$1&lt;&gt;""),INDEX($A$4:$A$99,_xlfn.AGGREGATE(15,3,($B$4:$B$99=I$3)/($B$4:$B$99=I$3)*(ROW($B$4:$B$99))-ROW($A$4)+1,ROWS(I$4:I48))),""),"")</f>
        <v/>
      </c>
      <c r="J48" t="str">
        <f>IFERROR(IF(AND(ROWS(J$4:J48)&lt;=J$1,J$1&lt;&gt;""),INDEX($A$4:$A$99,_xlfn.AGGREGATE(15,3,($B$4:$B$99=J$3)/($B$4:$B$99=J$3)*(ROW($B$4:$B$99))-ROW($A$4)+1,ROWS(J$4:J48))),""),"")</f>
        <v/>
      </c>
      <c r="K48" t="str">
        <f>IFERROR(IF(AND(ROWS(K$4:K48)&lt;=K$1,K$1&lt;&gt;""),INDEX($A$4:$A$99,_xlfn.AGGREGATE(15,3,($B$4:$B$99=K$3)/($B$4:$B$99=K$3)*(ROW($B$4:$B$99))-ROW($A$4)+1,ROWS(K$4:K48))),""),"")</f>
        <v/>
      </c>
      <c r="L48" t="str">
        <f>IFERROR(IF(AND(ROWS(L$4:L48)&lt;=L$1,L$1&lt;&gt;""),INDEX($A$4:$A$99,_xlfn.AGGREGATE(15,3,($B$4:$B$99=L$3)/($B$4:$B$99=L$3)*(ROW($B$4:$B$99))-ROW($A$4)+1,ROWS(L$4:L48))),""),"")</f>
        <v/>
      </c>
    </row>
    <row r="49" spans="1:12" x14ac:dyDescent="0.2">
      <c r="A49" t="str">
        <f>combined!M24</f>
        <v>6F-46</v>
      </c>
      <c r="B49" t="str">
        <f>combined!N24</f>
        <v/>
      </c>
      <c r="D49" t="str">
        <f>IFERROR(IF(AND(ROWS(D$4:D49)&lt;=D$1,D$1&lt;&gt;""),INDEX($A$4:$A$99,_xlfn.AGGREGATE(15,3,($B$4:$B$99=D$3)/($B$4:$B$99=D$3)*(ROW($B$4:$B$99))-ROW($A$4)+1,ROWS(D$4:D49))),""),"")</f>
        <v/>
      </c>
      <c r="E49" t="str">
        <f>IFERROR(IF(AND(ROWS(E$4:E49)&lt;=E$1,E$1&lt;&gt;""),INDEX($A$4:$A$99,_xlfn.AGGREGATE(15,3,($B$4:$B$99=E$3)/($B$4:$B$99=E$3)*(ROW($B$4:$B$99))-ROW($A$4)+1,ROWS(E$4:E49))),""),"")</f>
        <v/>
      </c>
      <c r="F49" t="str">
        <f>IFERROR(IF(AND(ROWS(F$4:F49)&lt;=F$1,F$1&lt;&gt;""),INDEX($A$4:$A$99,_xlfn.AGGREGATE(15,3,($B$4:$B$99=F$3)/($B$4:$B$99=F$3)*(ROW($B$4:$B$99))-ROW($A$4)+1,ROWS(F$4:F49))),""),"")</f>
        <v/>
      </c>
      <c r="G49" t="str">
        <f>IFERROR(IF(AND(ROWS(G$4:G49)&lt;=G$1,G$1&lt;&gt;""),INDEX($A$4:$A$99,_xlfn.AGGREGATE(15,3,($B$4:$B$99=G$3)/($B$4:$B$99=G$3)*(ROW($B$4:$B$99))-ROW($A$4)+1,ROWS(G$4:G49))),""),"")</f>
        <v/>
      </c>
      <c r="H49" t="str">
        <f>IFERROR(IF(AND(ROWS(H$4:H49)&lt;=H$1,H$1&lt;&gt;""),INDEX($A$4:$A$99,_xlfn.AGGREGATE(15,3,($B$4:$B$99=H$3)/($B$4:$B$99=H$3)*(ROW($B$4:$B$99))-ROW($A$4)+1,ROWS(H$4:H49))),""),"")</f>
        <v/>
      </c>
      <c r="I49" t="str">
        <f>IFERROR(IF(AND(ROWS(I$4:I49)&lt;=I$1,I$1&lt;&gt;""),INDEX($A$4:$A$99,_xlfn.AGGREGATE(15,3,($B$4:$B$99=I$3)/($B$4:$B$99=I$3)*(ROW($B$4:$B$99))-ROW($A$4)+1,ROWS(I$4:I49))),""),"")</f>
        <v/>
      </c>
      <c r="J49" t="str">
        <f>IFERROR(IF(AND(ROWS(J$4:J49)&lt;=J$1,J$1&lt;&gt;""),INDEX($A$4:$A$99,_xlfn.AGGREGATE(15,3,($B$4:$B$99=J$3)/($B$4:$B$99=J$3)*(ROW($B$4:$B$99))-ROW($A$4)+1,ROWS(J$4:J49))),""),"")</f>
        <v/>
      </c>
      <c r="K49" t="str">
        <f>IFERROR(IF(AND(ROWS(K$4:K49)&lt;=K$1,K$1&lt;&gt;""),INDEX($A$4:$A$99,_xlfn.AGGREGATE(15,3,($B$4:$B$99=K$3)/($B$4:$B$99=K$3)*(ROW($B$4:$B$99))-ROW($A$4)+1,ROWS(K$4:K49))),""),"")</f>
        <v/>
      </c>
      <c r="L49" t="str">
        <f>IFERROR(IF(AND(ROWS(L$4:L49)&lt;=L$1,L$1&lt;&gt;""),INDEX($A$4:$A$99,_xlfn.AGGREGATE(15,3,($B$4:$B$99=L$3)/($B$4:$B$99=L$3)*(ROW($B$4:$B$99))-ROW($A$4)+1,ROWS(L$4:L49))),""),"")</f>
        <v/>
      </c>
    </row>
    <row r="50" spans="1:12" x14ac:dyDescent="0.2">
      <c r="A50" t="str">
        <f>combined!M25</f>
        <v>6G-47</v>
      </c>
      <c r="B50" t="str">
        <f>combined!N25</f>
        <v/>
      </c>
      <c r="D50" t="str">
        <f>IFERROR(IF(AND(ROWS(D$4:D50)&lt;=D$1,D$1&lt;&gt;""),INDEX($A$4:$A$99,_xlfn.AGGREGATE(15,3,($B$4:$B$99=D$3)/($B$4:$B$99=D$3)*(ROW($B$4:$B$99))-ROW($A$4)+1,ROWS(D$4:D50))),""),"")</f>
        <v/>
      </c>
      <c r="E50" t="str">
        <f>IFERROR(IF(AND(ROWS(E$4:E50)&lt;=E$1,E$1&lt;&gt;""),INDEX($A$4:$A$99,_xlfn.AGGREGATE(15,3,($B$4:$B$99=E$3)/($B$4:$B$99=E$3)*(ROW($B$4:$B$99))-ROW($A$4)+1,ROWS(E$4:E50))),""),"")</f>
        <v/>
      </c>
      <c r="F50" t="str">
        <f>IFERROR(IF(AND(ROWS(F$4:F50)&lt;=F$1,F$1&lt;&gt;""),INDEX($A$4:$A$99,_xlfn.AGGREGATE(15,3,($B$4:$B$99=F$3)/($B$4:$B$99=F$3)*(ROW($B$4:$B$99))-ROW($A$4)+1,ROWS(F$4:F50))),""),"")</f>
        <v/>
      </c>
      <c r="G50" t="str">
        <f>IFERROR(IF(AND(ROWS(G$4:G50)&lt;=G$1,G$1&lt;&gt;""),INDEX($A$4:$A$99,_xlfn.AGGREGATE(15,3,($B$4:$B$99=G$3)/($B$4:$B$99=G$3)*(ROW($B$4:$B$99))-ROW($A$4)+1,ROWS(G$4:G50))),""),"")</f>
        <v/>
      </c>
      <c r="H50" t="str">
        <f>IFERROR(IF(AND(ROWS(H$4:H50)&lt;=H$1,H$1&lt;&gt;""),INDEX($A$4:$A$99,_xlfn.AGGREGATE(15,3,($B$4:$B$99=H$3)/($B$4:$B$99=H$3)*(ROW($B$4:$B$99))-ROW($A$4)+1,ROWS(H$4:H50))),""),"")</f>
        <v/>
      </c>
      <c r="I50" t="str">
        <f>IFERROR(IF(AND(ROWS(I$4:I50)&lt;=I$1,I$1&lt;&gt;""),INDEX($A$4:$A$99,_xlfn.AGGREGATE(15,3,($B$4:$B$99=I$3)/($B$4:$B$99=I$3)*(ROW($B$4:$B$99))-ROW($A$4)+1,ROWS(I$4:I50))),""),"")</f>
        <v/>
      </c>
      <c r="J50" t="str">
        <f>IFERROR(IF(AND(ROWS(J$4:J50)&lt;=J$1,J$1&lt;&gt;""),INDEX($A$4:$A$99,_xlfn.AGGREGATE(15,3,($B$4:$B$99=J$3)/($B$4:$B$99=J$3)*(ROW($B$4:$B$99))-ROW($A$4)+1,ROWS(J$4:J50))),""),"")</f>
        <v/>
      </c>
      <c r="K50" t="str">
        <f>IFERROR(IF(AND(ROWS(K$4:K50)&lt;=K$1,K$1&lt;&gt;""),INDEX($A$4:$A$99,_xlfn.AGGREGATE(15,3,($B$4:$B$99=K$3)/($B$4:$B$99=K$3)*(ROW($B$4:$B$99))-ROW($A$4)+1,ROWS(K$4:K50))),""),"")</f>
        <v/>
      </c>
      <c r="L50" t="str">
        <f>IFERROR(IF(AND(ROWS(L$4:L50)&lt;=L$1,L$1&lt;&gt;""),INDEX($A$4:$A$99,_xlfn.AGGREGATE(15,3,($B$4:$B$99=L$3)/($B$4:$B$99=L$3)*(ROW($B$4:$B$99))-ROW($A$4)+1,ROWS(L$4:L50))),""),"")</f>
        <v/>
      </c>
    </row>
    <row r="51" spans="1:12" x14ac:dyDescent="0.2">
      <c r="A51" t="str">
        <f>combined!M26</f>
        <v>6H-48</v>
      </c>
      <c r="B51" t="str">
        <f>combined!N26</f>
        <v/>
      </c>
    </row>
    <row r="52" spans="1:12" x14ac:dyDescent="0.2">
      <c r="A52" t="str">
        <f>combined!O3</f>
        <v>7A-49</v>
      </c>
      <c r="B52" t="str">
        <f>combined!P3</f>
        <v/>
      </c>
      <c r="D52" t="str">
        <f>IFERROR(IF(AND(ROWS(D$4:D52)&lt;=D$1,D$1&lt;&gt;""),INDEX($A$4:$A$99,_xlfn.AGGREGATE(15,3,($B$4:$B$99=D$3)/($B$4:$B$99=D$3)*(ROW($B$4:$B$99))-ROW($A$4)+1,ROWS(D$4:D52))),""),"")</f>
        <v/>
      </c>
      <c r="E52" t="str">
        <f>IFERROR(IF(AND(ROWS(E$4:E52)&lt;=E$1,E$1&lt;&gt;""),INDEX($A$4:$A$99,_xlfn.AGGREGATE(15,3,($B$4:$B$99=E$3)/($B$4:$B$99=E$3)*(ROW($B$4:$B$99))-ROW($A$4)+1,ROWS(E$4:E52))),""),"")</f>
        <v/>
      </c>
      <c r="F52" t="str">
        <f>IFERROR(IF(AND(ROWS(F$4:F52)&lt;=F$1,F$1&lt;&gt;""),INDEX($A$4:$A$99,_xlfn.AGGREGATE(15,3,($B$4:$B$99=F$3)/($B$4:$B$99=F$3)*(ROW($B$4:$B$99))-ROW($A$4)+1,ROWS(F$4:F52))),""),"")</f>
        <v/>
      </c>
      <c r="G52" t="str">
        <f>IFERROR(IF(AND(ROWS(G$4:G52)&lt;=G$1,G$1&lt;&gt;""),INDEX($A$4:$A$99,_xlfn.AGGREGATE(15,3,($B$4:$B$99=G$3)/($B$4:$B$99=G$3)*(ROW($B$4:$B$99))-ROW($A$4)+1,ROWS(G$4:G52))),""),"")</f>
        <v/>
      </c>
      <c r="H52" t="str">
        <f>IFERROR(IF(AND(ROWS(H$4:H52)&lt;=H$1,H$1&lt;&gt;""),INDEX($A$4:$A$99,_xlfn.AGGREGATE(15,3,($B$4:$B$99=H$3)/($B$4:$B$99=H$3)*(ROW($B$4:$B$99))-ROW($A$4)+1,ROWS(H$4:H52))),""),"")</f>
        <v/>
      </c>
      <c r="I52" t="str">
        <f>IFERROR(IF(AND(ROWS(I$4:I52)&lt;=I$1,I$1&lt;&gt;""),INDEX($A$4:$A$99,_xlfn.AGGREGATE(15,3,($B$4:$B$99=I$3)/($B$4:$B$99=I$3)*(ROW($B$4:$B$99))-ROW($A$4)+1,ROWS(I$4:I52))),""),"")</f>
        <v/>
      </c>
      <c r="J52" t="str">
        <f>IFERROR(IF(AND(ROWS(J$4:J52)&lt;=J$1,J$1&lt;&gt;""),INDEX($A$4:$A$99,_xlfn.AGGREGATE(15,3,($B$4:$B$99=J$3)/($B$4:$B$99=J$3)*(ROW($B$4:$B$99))-ROW($A$4)+1,ROWS(J$4:J52))),""),"")</f>
        <v/>
      </c>
      <c r="K52" t="str">
        <f>IFERROR(IF(AND(ROWS(K$4:K52)&lt;=K$1,K$1&lt;&gt;""),INDEX($A$4:$A$99,_xlfn.AGGREGATE(15,3,($B$4:$B$99=K$3)/($B$4:$B$99=K$3)*(ROW($B$4:$B$99))-ROW($A$4)+1,ROWS(K$4:K52))),""),"")</f>
        <v/>
      </c>
      <c r="L52" t="str">
        <f>IFERROR(IF(AND(ROWS(L$4:L52)&lt;=L$1,L$1&lt;&gt;""),INDEX($A$4:$A$99,_xlfn.AGGREGATE(15,3,($B$4:$B$99=L$3)/($B$4:$B$99=L$3)*(ROW($B$4:$B$99))-ROW($A$4)+1,ROWS(L$4:L52))),""),"")</f>
        <v/>
      </c>
    </row>
    <row r="53" spans="1:12" x14ac:dyDescent="0.2">
      <c r="A53" t="str">
        <f>combined!O4</f>
        <v>7B-50</v>
      </c>
      <c r="B53" t="str">
        <f>combined!P4</f>
        <v/>
      </c>
      <c r="D53" t="str">
        <f>IFERROR(IF(AND(ROWS(D$4:D53)&lt;=D$1,D$1&lt;&gt;""),INDEX($A$4:$A$99,_xlfn.AGGREGATE(15,3,($B$4:$B$99=D$3)/($B$4:$B$99=D$3)*(ROW($B$4:$B$99))-ROW($A$4)+1,ROWS(D$4:D53))),""),"")</f>
        <v/>
      </c>
      <c r="E53" t="str">
        <f>IFERROR(IF(AND(ROWS(E$4:E53)&lt;=E$1,E$1&lt;&gt;""),INDEX($A$4:$A$99,_xlfn.AGGREGATE(15,3,($B$4:$B$99=E$3)/($B$4:$B$99=E$3)*(ROW($B$4:$B$99))-ROW($A$4)+1,ROWS(E$4:E53))),""),"")</f>
        <v/>
      </c>
      <c r="F53" t="str">
        <f>IFERROR(IF(AND(ROWS(F$4:F53)&lt;=F$1,F$1&lt;&gt;""),INDEX($A$4:$A$99,_xlfn.AGGREGATE(15,3,($B$4:$B$99=F$3)/($B$4:$B$99=F$3)*(ROW($B$4:$B$99))-ROW($A$4)+1,ROWS(F$4:F53))),""),"")</f>
        <v/>
      </c>
      <c r="G53" t="str">
        <f>IFERROR(IF(AND(ROWS(G$4:G53)&lt;=G$1,G$1&lt;&gt;""),INDEX($A$4:$A$99,_xlfn.AGGREGATE(15,3,($B$4:$B$99=G$3)/($B$4:$B$99=G$3)*(ROW($B$4:$B$99))-ROW($A$4)+1,ROWS(G$4:G53))),""),"")</f>
        <v/>
      </c>
      <c r="H53" t="str">
        <f>IFERROR(IF(AND(ROWS(H$4:H53)&lt;=H$1,H$1&lt;&gt;""),INDEX($A$4:$A$99,_xlfn.AGGREGATE(15,3,($B$4:$B$99=H$3)/($B$4:$B$99=H$3)*(ROW($B$4:$B$99))-ROW($A$4)+1,ROWS(H$4:H53))),""),"")</f>
        <v/>
      </c>
      <c r="I53" t="str">
        <f>IFERROR(IF(AND(ROWS(I$4:I53)&lt;=I$1,I$1&lt;&gt;""),INDEX($A$4:$A$99,_xlfn.AGGREGATE(15,3,($B$4:$B$99=I$3)/($B$4:$B$99=I$3)*(ROW($B$4:$B$99))-ROW($A$4)+1,ROWS(I$4:I53))),""),"")</f>
        <v/>
      </c>
      <c r="J53" t="str">
        <f>IFERROR(IF(AND(ROWS(J$4:J53)&lt;=J$1,J$1&lt;&gt;""),INDEX($A$4:$A$99,_xlfn.AGGREGATE(15,3,($B$4:$B$99=J$3)/($B$4:$B$99=J$3)*(ROW($B$4:$B$99))-ROW($A$4)+1,ROWS(J$4:J53))),""),"")</f>
        <v/>
      </c>
      <c r="K53" t="str">
        <f>IFERROR(IF(AND(ROWS(K$4:K53)&lt;=K$1,K$1&lt;&gt;""),INDEX($A$4:$A$99,_xlfn.AGGREGATE(15,3,($B$4:$B$99=K$3)/($B$4:$B$99=K$3)*(ROW($B$4:$B$99))-ROW($A$4)+1,ROWS(K$4:K53))),""),"")</f>
        <v/>
      </c>
      <c r="L53" t="str">
        <f>IFERROR(IF(AND(ROWS(L$4:L53)&lt;=L$1,L$1&lt;&gt;""),INDEX($A$4:$A$99,_xlfn.AGGREGATE(15,3,($B$4:$B$99=L$3)/($B$4:$B$99=L$3)*(ROW($B$4:$B$99))-ROW($A$4)+1,ROWS(L$4:L53))),""),"")</f>
        <v/>
      </c>
    </row>
    <row r="54" spans="1:12" x14ac:dyDescent="0.2">
      <c r="A54" t="str">
        <f>combined!O5</f>
        <v>7C-51</v>
      </c>
      <c r="B54" t="str">
        <f>combined!P5</f>
        <v/>
      </c>
      <c r="D54" t="str">
        <f>IFERROR(IF(AND(ROWS(D$4:D54)&lt;=D$1,D$1&lt;&gt;""),INDEX($A$4:$A$99,_xlfn.AGGREGATE(15,3,($B$4:$B$99=D$3)/($B$4:$B$99=D$3)*(ROW($B$4:$B$99))-ROW($A$4)+1,ROWS(D$4:D54))),""),"")</f>
        <v/>
      </c>
      <c r="E54" t="str">
        <f>IFERROR(IF(AND(ROWS(E$4:E54)&lt;=E$1,E$1&lt;&gt;""),INDEX($A$4:$A$99,_xlfn.AGGREGATE(15,3,($B$4:$B$99=E$3)/($B$4:$B$99=E$3)*(ROW($B$4:$B$99))-ROW($A$4)+1,ROWS(E$4:E54))),""),"")</f>
        <v/>
      </c>
      <c r="F54" t="str">
        <f>IFERROR(IF(AND(ROWS(F$4:F54)&lt;=F$1,F$1&lt;&gt;""),INDEX($A$4:$A$99,_xlfn.AGGREGATE(15,3,($B$4:$B$99=F$3)/($B$4:$B$99=F$3)*(ROW($B$4:$B$99))-ROW($A$4)+1,ROWS(F$4:F54))),""),"")</f>
        <v/>
      </c>
      <c r="G54" t="str">
        <f>IFERROR(IF(AND(ROWS(G$4:G54)&lt;=G$1,G$1&lt;&gt;""),INDEX($A$4:$A$99,_xlfn.AGGREGATE(15,3,($B$4:$B$99=G$3)/($B$4:$B$99=G$3)*(ROW($B$4:$B$99))-ROW($A$4)+1,ROWS(G$4:G54))),""),"")</f>
        <v/>
      </c>
      <c r="H54" t="str">
        <f>IFERROR(IF(AND(ROWS(H$4:H54)&lt;=H$1,H$1&lt;&gt;""),INDEX($A$4:$A$99,_xlfn.AGGREGATE(15,3,($B$4:$B$99=H$3)/($B$4:$B$99=H$3)*(ROW($B$4:$B$99))-ROW($A$4)+1,ROWS(H$4:H54))),""),"")</f>
        <v/>
      </c>
      <c r="I54" t="str">
        <f>IFERROR(IF(AND(ROWS(I$4:I54)&lt;=I$1,I$1&lt;&gt;""),INDEX($A$4:$A$99,_xlfn.AGGREGATE(15,3,($B$4:$B$99=I$3)/($B$4:$B$99=I$3)*(ROW($B$4:$B$99))-ROW($A$4)+1,ROWS(I$4:I54))),""),"")</f>
        <v/>
      </c>
      <c r="J54" t="str">
        <f>IFERROR(IF(AND(ROWS(J$4:J54)&lt;=J$1,J$1&lt;&gt;""),INDEX($A$4:$A$99,_xlfn.AGGREGATE(15,3,($B$4:$B$99=J$3)/($B$4:$B$99=J$3)*(ROW($B$4:$B$99))-ROW($A$4)+1,ROWS(J$4:J54))),""),"")</f>
        <v/>
      </c>
      <c r="K54" t="str">
        <f>IFERROR(IF(AND(ROWS(K$4:K54)&lt;=K$1,K$1&lt;&gt;""),INDEX($A$4:$A$99,_xlfn.AGGREGATE(15,3,($B$4:$B$99=K$3)/($B$4:$B$99=K$3)*(ROW($B$4:$B$99))-ROW($A$4)+1,ROWS(K$4:K54))),""),"")</f>
        <v/>
      </c>
      <c r="L54" t="str">
        <f>IFERROR(IF(AND(ROWS(L$4:L54)&lt;=L$1,L$1&lt;&gt;""),INDEX($A$4:$A$99,_xlfn.AGGREGATE(15,3,($B$4:$B$99=L$3)/($B$4:$B$99=L$3)*(ROW($B$4:$B$99))-ROW($A$4)+1,ROWS(L$4:L54))),""),"")</f>
        <v/>
      </c>
    </row>
    <row r="55" spans="1:12" x14ac:dyDescent="0.2">
      <c r="A55" t="str">
        <f>combined!O6</f>
        <v>7D-52</v>
      </c>
      <c r="B55" t="str">
        <f>combined!P6</f>
        <v/>
      </c>
      <c r="D55" t="str">
        <f>IFERROR(IF(AND(ROWS(D$4:D55)&lt;=D$1,D$1&lt;&gt;""),INDEX($A$4:$A$99,_xlfn.AGGREGATE(15,3,($B$4:$B$99=D$3)/($B$4:$B$99=D$3)*(ROW($B$4:$B$99))-ROW($A$4)+1,ROWS(D$4:D55))),""),"")</f>
        <v/>
      </c>
      <c r="E55" t="str">
        <f>IFERROR(IF(AND(ROWS(E$4:E55)&lt;=E$1,E$1&lt;&gt;""),INDEX($A$4:$A$99,_xlfn.AGGREGATE(15,3,($B$4:$B$99=E$3)/($B$4:$B$99=E$3)*(ROW($B$4:$B$99))-ROW($A$4)+1,ROWS(E$4:E55))),""),"")</f>
        <v/>
      </c>
      <c r="F55" t="str">
        <f>IFERROR(IF(AND(ROWS(F$4:F55)&lt;=F$1,F$1&lt;&gt;""),INDEX($A$4:$A$99,_xlfn.AGGREGATE(15,3,($B$4:$B$99=F$3)/($B$4:$B$99=F$3)*(ROW($B$4:$B$99))-ROW($A$4)+1,ROWS(F$4:F55))),""),"")</f>
        <v/>
      </c>
      <c r="G55" t="str">
        <f>IFERROR(IF(AND(ROWS(G$4:G55)&lt;=G$1,G$1&lt;&gt;""),INDEX($A$4:$A$99,_xlfn.AGGREGATE(15,3,($B$4:$B$99=G$3)/($B$4:$B$99=G$3)*(ROW($B$4:$B$99))-ROW($A$4)+1,ROWS(G$4:G55))),""),"")</f>
        <v/>
      </c>
      <c r="H55" t="str">
        <f>IFERROR(IF(AND(ROWS(H$4:H55)&lt;=H$1,H$1&lt;&gt;""),INDEX($A$4:$A$99,_xlfn.AGGREGATE(15,3,($B$4:$B$99=H$3)/($B$4:$B$99=H$3)*(ROW($B$4:$B$99))-ROW($A$4)+1,ROWS(H$4:H55))),""),"")</f>
        <v/>
      </c>
      <c r="I55" t="str">
        <f>IFERROR(IF(AND(ROWS(I$4:I55)&lt;=I$1,I$1&lt;&gt;""),INDEX($A$4:$A$99,_xlfn.AGGREGATE(15,3,($B$4:$B$99=I$3)/($B$4:$B$99=I$3)*(ROW($B$4:$B$99))-ROW($A$4)+1,ROWS(I$4:I55))),""),"")</f>
        <v/>
      </c>
      <c r="J55" t="str">
        <f>IFERROR(IF(AND(ROWS(J$4:J55)&lt;=J$1,J$1&lt;&gt;""),INDEX($A$4:$A$99,_xlfn.AGGREGATE(15,3,($B$4:$B$99=J$3)/($B$4:$B$99=J$3)*(ROW($B$4:$B$99))-ROW($A$4)+1,ROWS(J$4:J55))),""),"")</f>
        <v/>
      </c>
      <c r="K55" t="str">
        <f>IFERROR(IF(AND(ROWS(K$4:K55)&lt;=K$1,K$1&lt;&gt;""),INDEX($A$4:$A$99,_xlfn.AGGREGATE(15,3,($B$4:$B$99=K$3)/($B$4:$B$99=K$3)*(ROW($B$4:$B$99))-ROW($A$4)+1,ROWS(K$4:K55))),""),"")</f>
        <v/>
      </c>
      <c r="L55" t="str">
        <f>IFERROR(IF(AND(ROWS(L$4:L55)&lt;=L$1,L$1&lt;&gt;""),INDEX($A$4:$A$99,_xlfn.AGGREGATE(15,3,($B$4:$B$99=L$3)/($B$4:$B$99=L$3)*(ROW($B$4:$B$99))-ROW($A$4)+1,ROWS(L$4:L55))),""),"")</f>
        <v/>
      </c>
    </row>
    <row r="56" spans="1:12" x14ac:dyDescent="0.2">
      <c r="A56" t="str">
        <f>combined!O7</f>
        <v>7E-53</v>
      </c>
      <c r="B56" t="str">
        <f>combined!P7</f>
        <v/>
      </c>
      <c r="D56" t="str">
        <f>IFERROR(IF(AND(ROWS(D$4:D56)&lt;=D$1,D$1&lt;&gt;""),INDEX($A$4:$A$99,_xlfn.AGGREGATE(15,3,($B$4:$B$99=D$3)/($B$4:$B$99=D$3)*(ROW($B$4:$B$99))-ROW($A$4)+1,ROWS(D$4:D56))),""),"")</f>
        <v/>
      </c>
      <c r="E56" t="str">
        <f>IFERROR(IF(AND(ROWS(E$4:E56)&lt;=E$1,E$1&lt;&gt;""),INDEX($A$4:$A$99,_xlfn.AGGREGATE(15,3,($B$4:$B$99=E$3)/($B$4:$B$99=E$3)*(ROW($B$4:$B$99))-ROW($A$4)+1,ROWS(E$4:E56))),""),"")</f>
        <v/>
      </c>
      <c r="F56" t="str">
        <f>IFERROR(IF(AND(ROWS(F$4:F56)&lt;=F$1,F$1&lt;&gt;""),INDEX($A$4:$A$99,_xlfn.AGGREGATE(15,3,($B$4:$B$99=F$3)/($B$4:$B$99=F$3)*(ROW($B$4:$B$99))-ROW($A$4)+1,ROWS(F$4:F56))),""),"")</f>
        <v/>
      </c>
      <c r="G56" t="str">
        <f>IFERROR(IF(AND(ROWS(G$4:G56)&lt;=G$1,G$1&lt;&gt;""),INDEX($A$4:$A$99,_xlfn.AGGREGATE(15,3,($B$4:$B$99=G$3)/($B$4:$B$99=G$3)*(ROW($B$4:$B$99))-ROW($A$4)+1,ROWS(G$4:G56))),""),"")</f>
        <v/>
      </c>
      <c r="H56" t="str">
        <f>IFERROR(IF(AND(ROWS(H$4:H56)&lt;=H$1,H$1&lt;&gt;""),INDEX($A$4:$A$99,_xlfn.AGGREGATE(15,3,($B$4:$B$99=H$3)/($B$4:$B$99=H$3)*(ROW($B$4:$B$99))-ROW($A$4)+1,ROWS(H$4:H56))),""),"")</f>
        <v/>
      </c>
      <c r="I56" t="str">
        <f>IFERROR(IF(AND(ROWS(I$4:I56)&lt;=I$1,I$1&lt;&gt;""),INDEX($A$4:$A$99,_xlfn.AGGREGATE(15,3,($B$4:$B$99=I$3)/($B$4:$B$99=I$3)*(ROW($B$4:$B$99))-ROW($A$4)+1,ROWS(I$4:I56))),""),"")</f>
        <v/>
      </c>
      <c r="J56" t="str">
        <f>IFERROR(IF(AND(ROWS(J$4:J56)&lt;=J$1,J$1&lt;&gt;""),INDEX($A$4:$A$99,_xlfn.AGGREGATE(15,3,($B$4:$B$99=J$3)/($B$4:$B$99=J$3)*(ROW($B$4:$B$99))-ROW($A$4)+1,ROWS(J$4:J56))),""),"")</f>
        <v/>
      </c>
      <c r="K56" t="str">
        <f>IFERROR(IF(AND(ROWS(K$4:K56)&lt;=K$1,K$1&lt;&gt;""),INDEX($A$4:$A$99,_xlfn.AGGREGATE(15,3,($B$4:$B$99=K$3)/($B$4:$B$99=K$3)*(ROW($B$4:$B$99))-ROW($A$4)+1,ROWS(K$4:K56))),""),"")</f>
        <v/>
      </c>
      <c r="L56" t="str">
        <f>IFERROR(IF(AND(ROWS(L$4:L56)&lt;=L$1,L$1&lt;&gt;""),INDEX($A$4:$A$99,_xlfn.AGGREGATE(15,3,($B$4:$B$99=L$3)/($B$4:$B$99=L$3)*(ROW($B$4:$B$99))-ROW($A$4)+1,ROWS(L$4:L56))),""),"")</f>
        <v/>
      </c>
    </row>
    <row r="57" spans="1:12" x14ac:dyDescent="0.2">
      <c r="A57" t="str">
        <f>combined!O8</f>
        <v>7F-54</v>
      </c>
      <c r="B57" t="str">
        <f>combined!P8</f>
        <v/>
      </c>
      <c r="D57" t="str">
        <f>IFERROR(IF(AND(ROWS(D$4:D57)&lt;=D$1,D$1&lt;&gt;""),INDEX($A$4:$A$99,_xlfn.AGGREGATE(15,3,($B$4:$B$99=D$3)/($B$4:$B$99=D$3)*(ROW($B$4:$B$99))-ROW($A$4)+1,ROWS(D$4:D57))),""),"")</f>
        <v/>
      </c>
      <c r="E57" t="str">
        <f>IFERROR(IF(AND(ROWS(E$4:E57)&lt;=E$1,E$1&lt;&gt;""),INDEX($A$4:$A$99,_xlfn.AGGREGATE(15,3,($B$4:$B$99=E$3)/($B$4:$B$99=E$3)*(ROW($B$4:$B$99))-ROW($A$4)+1,ROWS(E$4:E57))),""),"")</f>
        <v/>
      </c>
      <c r="F57" t="str">
        <f>IFERROR(IF(AND(ROWS(F$4:F57)&lt;=F$1,F$1&lt;&gt;""),INDEX($A$4:$A$99,_xlfn.AGGREGATE(15,3,($B$4:$B$99=F$3)/($B$4:$B$99=F$3)*(ROW($B$4:$B$99))-ROW($A$4)+1,ROWS(F$4:F57))),""),"")</f>
        <v/>
      </c>
      <c r="G57" t="str">
        <f>IFERROR(IF(AND(ROWS(G$4:G57)&lt;=G$1,G$1&lt;&gt;""),INDEX($A$4:$A$99,_xlfn.AGGREGATE(15,3,($B$4:$B$99=G$3)/($B$4:$B$99=G$3)*(ROW($B$4:$B$99))-ROW($A$4)+1,ROWS(G$4:G57))),""),"")</f>
        <v/>
      </c>
      <c r="H57" t="str">
        <f>IFERROR(IF(AND(ROWS(H$4:H57)&lt;=H$1,H$1&lt;&gt;""),INDEX($A$4:$A$99,_xlfn.AGGREGATE(15,3,($B$4:$B$99=H$3)/($B$4:$B$99=H$3)*(ROW($B$4:$B$99))-ROW($A$4)+1,ROWS(H$4:H57))),""),"")</f>
        <v/>
      </c>
      <c r="I57" t="str">
        <f>IFERROR(IF(AND(ROWS(I$4:I57)&lt;=I$1,I$1&lt;&gt;""),INDEX($A$4:$A$99,_xlfn.AGGREGATE(15,3,($B$4:$B$99=I$3)/($B$4:$B$99=I$3)*(ROW($B$4:$B$99))-ROW($A$4)+1,ROWS(I$4:I57))),""),"")</f>
        <v/>
      </c>
      <c r="J57" t="str">
        <f>IFERROR(IF(AND(ROWS(J$4:J57)&lt;=J$1,J$1&lt;&gt;""),INDEX($A$4:$A$99,_xlfn.AGGREGATE(15,3,($B$4:$B$99=J$3)/($B$4:$B$99=J$3)*(ROW($B$4:$B$99))-ROW($A$4)+1,ROWS(J$4:J57))),""),"")</f>
        <v/>
      </c>
      <c r="K57" t="str">
        <f>IFERROR(IF(AND(ROWS(K$4:K57)&lt;=K$1,K$1&lt;&gt;""),INDEX($A$4:$A$99,_xlfn.AGGREGATE(15,3,($B$4:$B$99=K$3)/($B$4:$B$99=K$3)*(ROW($B$4:$B$99))-ROW($A$4)+1,ROWS(K$4:K57))),""),"")</f>
        <v/>
      </c>
      <c r="L57" t="str">
        <f>IFERROR(IF(AND(ROWS(L$4:L57)&lt;=L$1,L$1&lt;&gt;""),INDEX($A$4:$A$99,_xlfn.AGGREGATE(15,3,($B$4:$B$99=L$3)/($B$4:$B$99=L$3)*(ROW($B$4:$B$99))-ROW($A$4)+1,ROWS(L$4:L57))),""),"")</f>
        <v/>
      </c>
    </row>
    <row r="58" spans="1:12" x14ac:dyDescent="0.2">
      <c r="A58" t="str">
        <f>combined!O9</f>
        <v>7G-55</v>
      </c>
      <c r="B58" t="str">
        <f>combined!P9</f>
        <v/>
      </c>
      <c r="D58" t="str">
        <f>IFERROR(IF(AND(ROWS(D$4:D58)&lt;=D$1,D$1&lt;&gt;""),INDEX($A$4:$A$99,_xlfn.AGGREGATE(15,3,($B$4:$B$99=D$3)/($B$4:$B$99=D$3)*(ROW($B$4:$B$99))-ROW($A$4)+1,ROWS(D$4:D58))),""),"")</f>
        <v/>
      </c>
      <c r="E58" t="str">
        <f>IFERROR(IF(AND(ROWS(E$4:E58)&lt;=E$1,E$1&lt;&gt;""),INDEX($A$4:$A$99,_xlfn.AGGREGATE(15,3,($B$4:$B$99=E$3)/($B$4:$B$99=E$3)*(ROW($B$4:$B$99))-ROW($A$4)+1,ROWS(E$4:E58))),""),"")</f>
        <v/>
      </c>
      <c r="F58" t="str">
        <f>IFERROR(IF(AND(ROWS(F$4:F58)&lt;=F$1,F$1&lt;&gt;""),INDEX($A$4:$A$99,_xlfn.AGGREGATE(15,3,($B$4:$B$99=F$3)/($B$4:$B$99=F$3)*(ROW($B$4:$B$99))-ROW($A$4)+1,ROWS(F$4:F58))),""),"")</f>
        <v/>
      </c>
      <c r="G58" t="str">
        <f>IFERROR(IF(AND(ROWS(G$4:G58)&lt;=G$1,G$1&lt;&gt;""),INDEX($A$4:$A$99,_xlfn.AGGREGATE(15,3,($B$4:$B$99=G$3)/($B$4:$B$99=G$3)*(ROW($B$4:$B$99))-ROW($A$4)+1,ROWS(G$4:G58))),""),"")</f>
        <v/>
      </c>
      <c r="H58" t="str">
        <f>IFERROR(IF(AND(ROWS(H$4:H58)&lt;=H$1,H$1&lt;&gt;""),INDEX($A$4:$A$99,_xlfn.AGGREGATE(15,3,($B$4:$B$99=H$3)/($B$4:$B$99=H$3)*(ROW($B$4:$B$99))-ROW($A$4)+1,ROWS(H$4:H58))),""),"")</f>
        <v/>
      </c>
      <c r="I58" t="str">
        <f>IFERROR(IF(AND(ROWS(I$4:I58)&lt;=I$1,I$1&lt;&gt;""),INDEX($A$4:$A$99,_xlfn.AGGREGATE(15,3,($B$4:$B$99=I$3)/($B$4:$B$99=I$3)*(ROW($B$4:$B$99))-ROW($A$4)+1,ROWS(I$4:I58))),""),"")</f>
        <v/>
      </c>
      <c r="J58" t="str">
        <f>IFERROR(IF(AND(ROWS(J$4:J58)&lt;=J$1,J$1&lt;&gt;""),INDEX($A$4:$A$99,_xlfn.AGGREGATE(15,3,($B$4:$B$99=J$3)/($B$4:$B$99=J$3)*(ROW($B$4:$B$99))-ROW($A$4)+1,ROWS(J$4:J58))),""),"")</f>
        <v/>
      </c>
      <c r="K58" t="str">
        <f>IFERROR(IF(AND(ROWS(K$4:K58)&lt;=K$1,K$1&lt;&gt;""),INDEX($A$4:$A$99,_xlfn.AGGREGATE(15,3,($B$4:$B$99=K$3)/($B$4:$B$99=K$3)*(ROW($B$4:$B$99))-ROW($A$4)+1,ROWS(K$4:K58))),""),"")</f>
        <v/>
      </c>
      <c r="L58" t="str">
        <f>IFERROR(IF(AND(ROWS(L$4:L58)&lt;=L$1,L$1&lt;&gt;""),INDEX($A$4:$A$99,_xlfn.AGGREGATE(15,3,($B$4:$B$99=L$3)/($B$4:$B$99=L$3)*(ROW($B$4:$B$99))-ROW($A$4)+1,ROWS(L$4:L58))),""),"")</f>
        <v/>
      </c>
    </row>
    <row r="59" spans="1:12" x14ac:dyDescent="0.2">
      <c r="A59" t="str">
        <f>combined!O10</f>
        <v>7H-56</v>
      </c>
      <c r="B59" t="str">
        <f>combined!P10</f>
        <v/>
      </c>
      <c r="D59" t="str">
        <f>IFERROR(IF(AND(ROWS(D$4:D59)&lt;=D$1,D$1&lt;&gt;""),INDEX($A$4:$A$99,_xlfn.AGGREGATE(15,3,($B$4:$B$99=D$3)/($B$4:$B$99=D$3)*(ROW($B$4:$B$99))-ROW($A$4)+1,ROWS(D$4:D59))),""),"")</f>
        <v/>
      </c>
      <c r="E59" t="str">
        <f>IFERROR(IF(AND(ROWS(E$4:E59)&lt;=E$1,E$1&lt;&gt;""),INDEX($A$4:$A$99,_xlfn.AGGREGATE(15,3,($B$4:$B$99=E$3)/($B$4:$B$99=E$3)*(ROW($B$4:$B$99))-ROW($A$4)+1,ROWS(E$4:E59))),""),"")</f>
        <v/>
      </c>
      <c r="F59" t="str">
        <f>IFERROR(IF(AND(ROWS(F$4:F59)&lt;=F$1,F$1&lt;&gt;""),INDEX($A$4:$A$99,_xlfn.AGGREGATE(15,3,($B$4:$B$99=F$3)/($B$4:$B$99=F$3)*(ROW($B$4:$B$99))-ROW($A$4)+1,ROWS(F$4:F59))),""),"")</f>
        <v/>
      </c>
      <c r="G59" t="str">
        <f>IFERROR(IF(AND(ROWS(G$4:G59)&lt;=G$1,G$1&lt;&gt;""),INDEX($A$4:$A$99,_xlfn.AGGREGATE(15,3,($B$4:$B$99=G$3)/($B$4:$B$99=G$3)*(ROW($B$4:$B$99))-ROW($A$4)+1,ROWS(G$4:G59))),""),"")</f>
        <v/>
      </c>
      <c r="H59" t="str">
        <f>IFERROR(IF(AND(ROWS(H$4:H59)&lt;=H$1,H$1&lt;&gt;""),INDEX($A$4:$A$99,_xlfn.AGGREGATE(15,3,($B$4:$B$99=H$3)/($B$4:$B$99=H$3)*(ROW($B$4:$B$99))-ROW($A$4)+1,ROWS(H$4:H59))),""),"")</f>
        <v/>
      </c>
      <c r="I59" t="str">
        <f>IFERROR(IF(AND(ROWS(I$4:I59)&lt;=I$1,I$1&lt;&gt;""),INDEX($A$4:$A$99,_xlfn.AGGREGATE(15,3,($B$4:$B$99=I$3)/($B$4:$B$99=I$3)*(ROW($B$4:$B$99))-ROW($A$4)+1,ROWS(I$4:I59))),""),"")</f>
        <v/>
      </c>
      <c r="J59" t="str">
        <f>IFERROR(IF(AND(ROWS(J$4:J59)&lt;=J$1,J$1&lt;&gt;""),INDEX($A$4:$A$99,_xlfn.AGGREGATE(15,3,($B$4:$B$99=J$3)/($B$4:$B$99=J$3)*(ROW($B$4:$B$99))-ROW($A$4)+1,ROWS(J$4:J59))),""),"")</f>
        <v/>
      </c>
      <c r="K59" t="str">
        <f>IFERROR(IF(AND(ROWS(K$4:K59)&lt;=K$1,K$1&lt;&gt;""),INDEX($A$4:$A$99,_xlfn.AGGREGATE(15,3,($B$4:$B$99=K$3)/($B$4:$B$99=K$3)*(ROW($B$4:$B$99))-ROW($A$4)+1,ROWS(K$4:K59))),""),"")</f>
        <v/>
      </c>
      <c r="L59" t="str">
        <f>IFERROR(IF(AND(ROWS(L$4:L59)&lt;=L$1,L$1&lt;&gt;""),INDEX($A$4:$A$99,_xlfn.AGGREGATE(15,3,($B$4:$B$99=L$3)/($B$4:$B$99=L$3)*(ROW($B$4:$B$99))-ROW($A$4)+1,ROWS(L$4:L59))),""),"")</f>
        <v/>
      </c>
    </row>
    <row r="60" spans="1:12" x14ac:dyDescent="0.2">
      <c r="A60" t="str">
        <f>combined!O11</f>
        <v>8A-57</v>
      </c>
      <c r="B60" t="str">
        <f>combined!P11</f>
        <v/>
      </c>
      <c r="D60" t="str">
        <f>IFERROR(IF(AND(ROWS(D$4:D60)&lt;=D$1,D$1&lt;&gt;""),INDEX($A$4:$A$99,_xlfn.AGGREGATE(15,3,($B$4:$B$99=D$3)/($B$4:$B$99=D$3)*(ROW($B$4:$B$99))-ROW($A$4)+1,ROWS(D$4:D60))),""),"")</f>
        <v/>
      </c>
      <c r="E60" t="str">
        <f>IFERROR(IF(AND(ROWS(E$4:E60)&lt;=E$1,E$1&lt;&gt;""),INDEX($A$4:$A$99,_xlfn.AGGREGATE(15,3,($B$4:$B$99=E$3)/($B$4:$B$99=E$3)*(ROW($B$4:$B$99))-ROW($A$4)+1,ROWS(E$4:E60))),""),"")</f>
        <v/>
      </c>
      <c r="F60" t="str">
        <f>IFERROR(IF(AND(ROWS(F$4:F60)&lt;=F$1,F$1&lt;&gt;""),INDEX($A$4:$A$99,_xlfn.AGGREGATE(15,3,($B$4:$B$99=F$3)/($B$4:$B$99=F$3)*(ROW($B$4:$B$99))-ROW($A$4)+1,ROWS(F$4:F60))),""),"")</f>
        <v/>
      </c>
      <c r="G60" t="str">
        <f>IFERROR(IF(AND(ROWS(G$4:G60)&lt;=G$1,G$1&lt;&gt;""),INDEX($A$4:$A$99,_xlfn.AGGREGATE(15,3,($B$4:$B$99=G$3)/($B$4:$B$99=G$3)*(ROW($B$4:$B$99))-ROW($A$4)+1,ROWS(G$4:G60))),""),"")</f>
        <v/>
      </c>
      <c r="H60" t="str">
        <f>IFERROR(IF(AND(ROWS(H$4:H60)&lt;=H$1,H$1&lt;&gt;""),INDEX($A$4:$A$99,_xlfn.AGGREGATE(15,3,($B$4:$B$99=H$3)/($B$4:$B$99=H$3)*(ROW($B$4:$B$99))-ROW($A$4)+1,ROWS(H$4:H60))),""),"")</f>
        <v/>
      </c>
      <c r="I60" t="str">
        <f>IFERROR(IF(AND(ROWS(I$4:I60)&lt;=I$1,I$1&lt;&gt;""),INDEX($A$4:$A$99,_xlfn.AGGREGATE(15,3,($B$4:$B$99=I$3)/($B$4:$B$99=I$3)*(ROW($B$4:$B$99))-ROW($A$4)+1,ROWS(I$4:I60))),""),"")</f>
        <v/>
      </c>
      <c r="J60" t="str">
        <f>IFERROR(IF(AND(ROWS(J$4:J60)&lt;=J$1,J$1&lt;&gt;""),INDEX($A$4:$A$99,_xlfn.AGGREGATE(15,3,($B$4:$B$99=J$3)/($B$4:$B$99=J$3)*(ROW($B$4:$B$99))-ROW($A$4)+1,ROWS(J$4:J60))),""),"")</f>
        <v/>
      </c>
      <c r="K60" t="str">
        <f>IFERROR(IF(AND(ROWS(K$4:K60)&lt;=K$1,K$1&lt;&gt;""),INDEX($A$4:$A$99,_xlfn.AGGREGATE(15,3,($B$4:$B$99=K$3)/($B$4:$B$99=K$3)*(ROW($B$4:$B$99))-ROW($A$4)+1,ROWS(K$4:K60))),""),"")</f>
        <v/>
      </c>
      <c r="L60" t="str">
        <f>IFERROR(IF(AND(ROWS(L$4:L60)&lt;=L$1,L$1&lt;&gt;""),INDEX($A$4:$A$99,_xlfn.AGGREGATE(15,3,($B$4:$B$99=L$3)/($B$4:$B$99=L$3)*(ROW($B$4:$B$99))-ROW($A$4)+1,ROWS(L$4:L60))),""),"")</f>
        <v/>
      </c>
    </row>
    <row r="61" spans="1:12" x14ac:dyDescent="0.2">
      <c r="A61" t="str">
        <f>combined!O12</f>
        <v>8B-58</v>
      </c>
      <c r="B61" t="str">
        <f>combined!P12</f>
        <v/>
      </c>
      <c r="D61" t="str">
        <f>IFERROR(IF(AND(ROWS(D$4:D61)&lt;=D$1,D$1&lt;&gt;""),INDEX($A$4:$A$99,_xlfn.AGGREGATE(15,3,($B$4:$B$99=D$3)/($B$4:$B$99=D$3)*(ROW($B$4:$B$99))-ROW($A$4)+1,ROWS(D$4:D61))),""),"")</f>
        <v/>
      </c>
      <c r="E61" t="str">
        <f>IFERROR(IF(AND(ROWS(E$4:E61)&lt;=E$1,E$1&lt;&gt;""),INDEX($A$4:$A$99,_xlfn.AGGREGATE(15,3,($B$4:$B$99=E$3)/($B$4:$B$99=E$3)*(ROW($B$4:$B$99))-ROW($A$4)+1,ROWS(E$4:E61))),""),"")</f>
        <v/>
      </c>
      <c r="F61" t="str">
        <f>IFERROR(IF(AND(ROWS(F$4:F61)&lt;=F$1,F$1&lt;&gt;""),INDEX($A$4:$A$99,_xlfn.AGGREGATE(15,3,($B$4:$B$99=F$3)/($B$4:$B$99=F$3)*(ROW($B$4:$B$99))-ROW($A$4)+1,ROWS(F$4:F61))),""),"")</f>
        <v/>
      </c>
      <c r="G61" t="str">
        <f>IFERROR(IF(AND(ROWS(G$4:G61)&lt;=G$1,G$1&lt;&gt;""),INDEX($A$4:$A$99,_xlfn.AGGREGATE(15,3,($B$4:$B$99=G$3)/($B$4:$B$99=G$3)*(ROW($B$4:$B$99))-ROW($A$4)+1,ROWS(G$4:G61))),""),"")</f>
        <v/>
      </c>
      <c r="H61" t="str">
        <f>IFERROR(IF(AND(ROWS(H$4:H61)&lt;=H$1,H$1&lt;&gt;""),INDEX($A$4:$A$99,_xlfn.AGGREGATE(15,3,($B$4:$B$99=H$3)/($B$4:$B$99=H$3)*(ROW($B$4:$B$99))-ROW($A$4)+1,ROWS(H$4:H61))),""),"")</f>
        <v/>
      </c>
      <c r="I61" t="str">
        <f>IFERROR(IF(AND(ROWS(I$4:I61)&lt;=I$1,I$1&lt;&gt;""),INDEX($A$4:$A$99,_xlfn.AGGREGATE(15,3,($B$4:$B$99=I$3)/($B$4:$B$99=I$3)*(ROW($B$4:$B$99))-ROW($A$4)+1,ROWS(I$4:I61))),""),"")</f>
        <v/>
      </c>
      <c r="J61" t="str">
        <f>IFERROR(IF(AND(ROWS(J$4:J61)&lt;=J$1,J$1&lt;&gt;""),INDEX($A$4:$A$99,_xlfn.AGGREGATE(15,3,($B$4:$B$99=J$3)/($B$4:$B$99=J$3)*(ROW($B$4:$B$99))-ROW($A$4)+1,ROWS(J$4:J61))),""),"")</f>
        <v/>
      </c>
      <c r="K61" t="str">
        <f>IFERROR(IF(AND(ROWS(K$4:K61)&lt;=K$1,K$1&lt;&gt;""),INDEX($A$4:$A$99,_xlfn.AGGREGATE(15,3,($B$4:$B$99=K$3)/($B$4:$B$99=K$3)*(ROW($B$4:$B$99))-ROW($A$4)+1,ROWS(K$4:K61))),""),"")</f>
        <v/>
      </c>
      <c r="L61" t="str">
        <f>IFERROR(IF(AND(ROWS(L$4:L61)&lt;=L$1,L$1&lt;&gt;""),INDEX($A$4:$A$99,_xlfn.AGGREGATE(15,3,($B$4:$B$99=L$3)/($B$4:$B$99=L$3)*(ROW($B$4:$B$99))-ROW($A$4)+1,ROWS(L$4:L61))),""),"")</f>
        <v/>
      </c>
    </row>
    <row r="62" spans="1:12" x14ac:dyDescent="0.2">
      <c r="A62" t="str">
        <f>combined!O13</f>
        <v>8C-59</v>
      </c>
      <c r="B62" t="str">
        <f>combined!P13</f>
        <v/>
      </c>
      <c r="D62" t="str">
        <f>IFERROR(IF(AND(ROWS(D$4:D62)&lt;=D$1,D$1&lt;&gt;""),INDEX($A$4:$A$99,_xlfn.AGGREGATE(15,3,($B$4:$B$99=D$3)/($B$4:$B$99=D$3)*(ROW($B$4:$B$99))-ROW($A$4)+1,ROWS(D$4:D62))),""),"")</f>
        <v/>
      </c>
      <c r="E62" t="str">
        <f>IFERROR(IF(AND(ROWS(E$4:E62)&lt;=E$1,E$1&lt;&gt;""),INDEX($A$4:$A$99,_xlfn.AGGREGATE(15,3,($B$4:$B$99=E$3)/($B$4:$B$99=E$3)*(ROW($B$4:$B$99))-ROW($A$4)+1,ROWS(E$4:E62))),""),"")</f>
        <v/>
      </c>
      <c r="F62" t="str">
        <f>IFERROR(IF(AND(ROWS(F$4:F62)&lt;=F$1,F$1&lt;&gt;""),INDEX($A$4:$A$99,_xlfn.AGGREGATE(15,3,($B$4:$B$99=F$3)/($B$4:$B$99=F$3)*(ROW($B$4:$B$99))-ROW($A$4)+1,ROWS(F$4:F62))),""),"")</f>
        <v/>
      </c>
      <c r="G62" t="str">
        <f>IFERROR(IF(AND(ROWS(G$4:G62)&lt;=G$1,G$1&lt;&gt;""),INDEX($A$4:$A$99,_xlfn.AGGREGATE(15,3,($B$4:$B$99=G$3)/($B$4:$B$99=G$3)*(ROW($B$4:$B$99))-ROW($A$4)+1,ROWS(G$4:G62))),""),"")</f>
        <v/>
      </c>
      <c r="H62" t="str">
        <f>IFERROR(IF(AND(ROWS(H$4:H62)&lt;=H$1,H$1&lt;&gt;""),INDEX($A$4:$A$99,_xlfn.AGGREGATE(15,3,($B$4:$B$99=H$3)/($B$4:$B$99=H$3)*(ROW($B$4:$B$99))-ROW($A$4)+1,ROWS(H$4:H62))),""),"")</f>
        <v/>
      </c>
      <c r="I62" t="str">
        <f>IFERROR(IF(AND(ROWS(I$4:I62)&lt;=I$1,I$1&lt;&gt;""),INDEX($A$4:$A$99,_xlfn.AGGREGATE(15,3,($B$4:$B$99=I$3)/($B$4:$B$99=I$3)*(ROW($B$4:$B$99))-ROW($A$4)+1,ROWS(I$4:I62))),""),"")</f>
        <v/>
      </c>
      <c r="J62" t="str">
        <f>IFERROR(IF(AND(ROWS(J$4:J62)&lt;=J$1,J$1&lt;&gt;""),INDEX($A$4:$A$99,_xlfn.AGGREGATE(15,3,($B$4:$B$99=J$3)/($B$4:$B$99=J$3)*(ROW($B$4:$B$99))-ROW($A$4)+1,ROWS(J$4:J62))),""),"")</f>
        <v/>
      </c>
      <c r="K62" t="str">
        <f>IFERROR(IF(AND(ROWS(K$4:K62)&lt;=K$1,K$1&lt;&gt;""),INDEX($A$4:$A$99,_xlfn.AGGREGATE(15,3,($B$4:$B$99=K$3)/($B$4:$B$99=K$3)*(ROW($B$4:$B$99))-ROW($A$4)+1,ROWS(K$4:K62))),""),"")</f>
        <v/>
      </c>
      <c r="L62" t="str">
        <f>IFERROR(IF(AND(ROWS(L$4:L62)&lt;=L$1,L$1&lt;&gt;""),INDEX($A$4:$A$99,_xlfn.AGGREGATE(15,3,($B$4:$B$99=L$3)/($B$4:$B$99=L$3)*(ROW($B$4:$B$99))-ROW($A$4)+1,ROWS(L$4:L62))),""),"")</f>
        <v/>
      </c>
    </row>
    <row r="63" spans="1:12" x14ac:dyDescent="0.2">
      <c r="A63" t="str">
        <f>combined!O14</f>
        <v>8D-60</v>
      </c>
      <c r="B63" t="str">
        <f>combined!P14</f>
        <v/>
      </c>
      <c r="D63" t="str">
        <f>IFERROR(IF(AND(ROWS(D$4:D63)&lt;=D$1,D$1&lt;&gt;""),INDEX($A$4:$A$99,_xlfn.AGGREGATE(15,3,($B$4:$B$99=D$3)/($B$4:$B$99=D$3)*(ROW($B$4:$B$99))-ROW($A$4)+1,ROWS(D$4:D63))),""),"")</f>
        <v/>
      </c>
      <c r="E63" t="str">
        <f>IFERROR(IF(AND(ROWS(E$4:E63)&lt;=E$1,E$1&lt;&gt;""),INDEX($A$4:$A$99,_xlfn.AGGREGATE(15,3,($B$4:$B$99=E$3)/($B$4:$B$99=E$3)*(ROW($B$4:$B$99))-ROW($A$4)+1,ROWS(E$4:E63))),""),"")</f>
        <v/>
      </c>
      <c r="F63" t="str">
        <f>IFERROR(IF(AND(ROWS(F$4:F63)&lt;=F$1,F$1&lt;&gt;""),INDEX($A$4:$A$99,_xlfn.AGGREGATE(15,3,($B$4:$B$99=F$3)/($B$4:$B$99=F$3)*(ROW($B$4:$B$99))-ROW($A$4)+1,ROWS(F$4:F63))),""),"")</f>
        <v/>
      </c>
      <c r="G63" t="str">
        <f>IFERROR(IF(AND(ROWS(G$4:G63)&lt;=G$1,G$1&lt;&gt;""),INDEX($A$4:$A$99,_xlfn.AGGREGATE(15,3,($B$4:$B$99=G$3)/($B$4:$B$99=G$3)*(ROW($B$4:$B$99))-ROW($A$4)+1,ROWS(G$4:G63))),""),"")</f>
        <v/>
      </c>
      <c r="H63" t="str">
        <f>IFERROR(IF(AND(ROWS(H$4:H63)&lt;=H$1,H$1&lt;&gt;""),INDEX($A$4:$A$99,_xlfn.AGGREGATE(15,3,($B$4:$B$99=H$3)/($B$4:$B$99=H$3)*(ROW($B$4:$B$99))-ROW($A$4)+1,ROWS(H$4:H63))),""),"")</f>
        <v/>
      </c>
      <c r="I63" t="str">
        <f>IFERROR(IF(AND(ROWS(I$4:I63)&lt;=I$1,I$1&lt;&gt;""),INDEX($A$4:$A$99,_xlfn.AGGREGATE(15,3,($B$4:$B$99=I$3)/($B$4:$B$99=I$3)*(ROW($B$4:$B$99))-ROW($A$4)+1,ROWS(I$4:I63))),""),"")</f>
        <v/>
      </c>
      <c r="J63" t="str">
        <f>IFERROR(IF(AND(ROWS(J$4:J63)&lt;=J$1,J$1&lt;&gt;""),INDEX($A$4:$A$99,_xlfn.AGGREGATE(15,3,($B$4:$B$99=J$3)/($B$4:$B$99=J$3)*(ROW($B$4:$B$99))-ROW($A$4)+1,ROWS(J$4:J63))),""),"")</f>
        <v/>
      </c>
      <c r="K63" t="str">
        <f>IFERROR(IF(AND(ROWS(K$4:K63)&lt;=K$1,K$1&lt;&gt;""),INDEX($A$4:$A$99,_xlfn.AGGREGATE(15,3,($B$4:$B$99=K$3)/($B$4:$B$99=K$3)*(ROW($B$4:$B$99))-ROW($A$4)+1,ROWS(K$4:K63))),""),"")</f>
        <v/>
      </c>
      <c r="L63" t="str">
        <f>IFERROR(IF(AND(ROWS(L$4:L63)&lt;=L$1,L$1&lt;&gt;""),INDEX($A$4:$A$99,_xlfn.AGGREGATE(15,3,($B$4:$B$99=L$3)/($B$4:$B$99=L$3)*(ROW($B$4:$B$99))-ROW($A$4)+1,ROWS(L$4:L63))),""),"")</f>
        <v/>
      </c>
    </row>
    <row r="64" spans="1:12" x14ac:dyDescent="0.2">
      <c r="A64" t="str">
        <f>combined!O15</f>
        <v>8E-61</v>
      </c>
      <c r="B64" t="str">
        <f>combined!P15</f>
        <v/>
      </c>
      <c r="D64" t="str">
        <f>IFERROR(IF(AND(ROWS(D$4:D64)&lt;=D$1,D$1&lt;&gt;""),INDEX($A$4:$A$99,_xlfn.AGGREGATE(15,3,($B$4:$B$99=D$3)/($B$4:$B$99=D$3)*(ROW($B$4:$B$99))-ROW($A$4)+1,ROWS(D$4:D64))),""),"")</f>
        <v/>
      </c>
      <c r="E64" t="str">
        <f>IFERROR(IF(AND(ROWS(E$4:E64)&lt;=E$1,E$1&lt;&gt;""),INDEX($A$4:$A$99,_xlfn.AGGREGATE(15,3,($B$4:$B$99=E$3)/($B$4:$B$99=E$3)*(ROW($B$4:$B$99))-ROW($A$4)+1,ROWS(E$4:E64))),""),"")</f>
        <v/>
      </c>
      <c r="F64" t="str">
        <f>IFERROR(IF(AND(ROWS(F$4:F64)&lt;=F$1,F$1&lt;&gt;""),INDEX($A$4:$A$99,_xlfn.AGGREGATE(15,3,($B$4:$B$99=F$3)/($B$4:$B$99=F$3)*(ROW($B$4:$B$99))-ROW($A$4)+1,ROWS(F$4:F64))),""),"")</f>
        <v/>
      </c>
      <c r="G64" t="str">
        <f>IFERROR(IF(AND(ROWS(G$4:G64)&lt;=G$1,G$1&lt;&gt;""),INDEX($A$4:$A$99,_xlfn.AGGREGATE(15,3,($B$4:$B$99=G$3)/($B$4:$B$99=G$3)*(ROW($B$4:$B$99))-ROW($A$4)+1,ROWS(G$4:G64))),""),"")</f>
        <v/>
      </c>
      <c r="H64" t="str">
        <f>IFERROR(IF(AND(ROWS(H$4:H64)&lt;=H$1,H$1&lt;&gt;""),INDEX($A$4:$A$99,_xlfn.AGGREGATE(15,3,($B$4:$B$99=H$3)/($B$4:$B$99=H$3)*(ROW($B$4:$B$99))-ROW($A$4)+1,ROWS(H$4:H64))),""),"")</f>
        <v/>
      </c>
      <c r="I64" t="str">
        <f>IFERROR(IF(AND(ROWS(I$4:I64)&lt;=I$1,I$1&lt;&gt;""),INDEX($A$4:$A$99,_xlfn.AGGREGATE(15,3,($B$4:$B$99=I$3)/($B$4:$B$99=I$3)*(ROW($B$4:$B$99))-ROW($A$4)+1,ROWS(I$4:I64))),""),"")</f>
        <v/>
      </c>
      <c r="J64" t="str">
        <f>IFERROR(IF(AND(ROWS(J$4:J64)&lt;=J$1,J$1&lt;&gt;""),INDEX($A$4:$A$99,_xlfn.AGGREGATE(15,3,($B$4:$B$99=J$3)/($B$4:$B$99=J$3)*(ROW($B$4:$B$99))-ROW($A$4)+1,ROWS(J$4:J64))),""),"")</f>
        <v/>
      </c>
      <c r="K64" t="str">
        <f>IFERROR(IF(AND(ROWS(K$4:K64)&lt;=K$1,K$1&lt;&gt;""),INDEX($A$4:$A$99,_xlfn.AGGREGATE(15,3,($B$4:$B$99=K$3)/($B$4:$B$99=K$3)*(ROW($B$4:$B$99))-ROW($A$4)+1,ROWS(K$4:K64))),""),"")</f>
        <v/>
      </c>
      <c r="L64" t="str">
        <f>IFERROR(IF(AND(ROWS(L$4:L64)&lt;=L$1,L$1&lt;&gt;""),INDEX($A$4:$A$99,_xlfn.AGGREGATE(15,3,($B$4:$B$99=L$3)/($B$4:$B$99=L$3)*(ROW($B$4:$B$99))-ROW($A$4)+1,ROWS(L$4:L64))),""),"")</f>
        <v/>
      </c>
    </row>
    <row r="65" spans="1:12" x14ac:dyDescent="0.2">
      <c r="A65" t="str">
        <f>combined!O16</f>
        <v>8F-62</v>
      </c>
      <c r="B65" t="str">
        <f>combined!P16</f>
        <v/>
      </c>
      <c r="D65" t="str">
        <f>IFERROR(IF(AND(ROWS(D$4:D65)&lt;=D$1,D$1&lt;&gt;""),INDEX($A$4:$A$99,_xlfn.AGGREGATE(15,3,($B$4:$B$99=D$3)/($B$4:$B$99=D$3)*(ROW($B$4:$B$99))-ROW($A$4)+1,ROWS(D$4:D65))),""),"")</f>
        <v/>
      </c>
      <c r="E65" t="str">
        <f>IFERROR(IF(AND(ROWS(E$4:E65)&lt;=E$1,E$1&lt;&gt;""),INDEX($A$4:$A$99,_xlfn.AGGREGATE(15,3,($B$4:$B$99=E$3)/($B$4:$B$99=E$3)*(ROW($B$4:$B$99))-ROW($A$4)+1,ROWS(E$4:E65))),""),"")</f>
        <v/>
      </c>
      <c r="F65" t="str">
        <f>IFERROR(IF(AND(ROWS(F$4:F65)&lt;=F$1,F$1&lt;&gt;""),INDEX($A$4:$A$99,_xlfn.AGGREGATE(15,3,($B$4:$B$99=F$3)/($B$4:$B$99=F$3)*(ROW($B$4:$B$99))-ROW($A$4)+1,ROWS(F$4:F65))),""),"")</f>
        <v/>
      </c>
      <c r="G65" t="str">
        <f>IFERROR(IF(AND(ROWS(G$4:G65)&lt;=G$1,G$1&lt;&gt;""),INDEX($A$4:$A$99,_xlfn.AGGREGATE(15,3,($B$4:$B$99=G$3)/($B$4:$B$99=G$3)*(ROW($B$4:$B$99))-ROW($A$4)+1,ROWS(G$4:G65))),""),"")</f>
        <v/>
      </c>
      <c r="H65" t="str">
        <f>IFERROR(IF(AND(ROWS(H$4:H65)&lt;=H$1,H$1&lt;&gt;""),INDEX($A$4:$A$99,_xlfn.AGGREGATE(15,3,($B$4:$B$99=H$3)/($B$4:$B$99=H$3)*(ROW($B$4:$B$99))-ROW($A$4)+1,ROWS(H$4:H65))),""),"")</f>
        <v/>
      </c>
      <c r="I65" t="str">
        <f>IFERROR(IF(AND(ROWS(I$4:I65)&lt;=I$1,I$1&lt;&gt;""),INDEX($A$4:$A$99,_xlfn.AGGREGATE(15,3,($B$4:$B$99=I$3)/($B$4:$B$99=I$3)*(ROW($B$4:$B$99))-ROW($A$4)+1,ROWS(I$4:I65))),""),"")</f>
        <v/>
      </c>
      <c r="J65" t="str">
        <f>IFERROR(IF(AND(ROWS(J$4:J65)&lt;=J$1,J$1&lt;&gt;""),INDEX($A$4:$A$99,_xlfn.AGGREGATE(15,3,($B$4:$B$99=J$3)/($B$4:$B$99=J$3)*(ROW($B$4:$B$99))-ROW($A$4)+1,ROWS(J$4:J65))),""),"")</f>
        <v/>
      </c>
      <c r="K65" t="str">
        <f>IFERROR(IF(AND(ROWS(K$4:K65)&lt;=K$1,K$1&lt;&gt;""),INDEX($A$4:$A$99,_xlfn.AGGREGATE(15,3,($B$4:$B$99=K$3)/($B$4:$B$99=K$3)*(ROW($B$4:$B$99))-ROW($A$4)+1,ROWS(K$4:K65))),""),"")</f>
        <v/>
      </c>
      <c r="L65" t="str">
        <f>IFERROR(IF(AND(ROWS(L$4:L65)&lt;=L$1,L$1&lt;&gt;""),INDEX($A$4:$A$99,_xlfn.AGGREGATE(15,3,($B$4:$B$99=L$3)/($B$4:$B$99=L$3)*(ROW($B$4:$B$99))-ROW($A$4)+1,ROWS(L$4:L65))),""),"")</f>
        <v/>
      </c>
    </row>
    <row r="66" spans="1:12" x14ac:dyDescent="0.2">
      <c r="A66" t="str">
        <f>combined!O17</f>
        <v>8G-63</v>
      </c>
      <c r="B66" t="str">
        <f>combined!P17</f>
        <v/>
      </c>
      <c r="D66" t="str">
        <f>IFERROR(IF(AND(ROWS(D$4:D66)&lt;=D$1,D$1&lt;&gt;""),INDEX($A$4:$A$99,_xlfn.AGGREGATE(15,3,($B$4:$B$99=D$3)/($B$4:$B$99=D$3)*(ROW($B$4:$B$99))-ROW($A$4)+1,ROWS(D$4:D66))),""),"")</f>
        <v/>
      </c>
      <c r="E66" t="str">
        <f>IFERROR(IF(AND(ROWS(E$4:E66)&lt;=E$1,E$1&lt;&gt;""),INDEX($A$4:$A$99,_xlfn.AGGREGATE(15,3,($B$4:$B$99=E$3)/($B$4:$B$99=E$3)*(ROW($B$4:$B$99))-ROW($A$4)+1,ROWS(E$4:E66))),""),"")</f>
        <v/>
      </c>
      <c r="F66" t="str">
        <f>IFERROR(IF(AND(ROWS(F$4:F66)&lt;=F$1,F$1&lt;&gt;""),INDEX($A$4:$A$99,_xlfn.AGGREGATE(15,3,($B$4:$B$99=F$3)/($B$4:$B$99=F$3)*(ROW($B$4:$B$99))-ROW($A$4)+1,ROWS(F$4:F66))),""),"")</f>
        <v/>
      </c>
      <c r="G66" t="str">
        <f>IFERROR(IF(AND(ROWS(G$4:G66)&lt;=G$1,G$1&lt;&gt;""),INDEX($A$4:$A$99,_xlfn.AGGREGATE(15,3,($B$4:$B$99=G$3)/($B$4:$B$99=G$3)*(ROW($B$4:$B$99))-ROW($A$4)+1,ROWS(G$4:G66))),""),"")</f>
        <v/>
      </c>
      <c r="H66" t="str">
        <f>IFERROR(IF(AND(ROWS(H$4:H66)&lt;=H$1,H$1&lt;&gt;""),INDEX($A$4:$A$99,_xlfn.AGGREGATE(15,3,($B$4:$B$99=H$3)/($B$4:$B$99=H$3)*(ROW($B$4:$B$99))-ROW($A$4)+1,ROWS(H$4:H66))),""),"")</f>
        <v/>
      </c>
      <c r="I66" t="str">
        <f>IFERROR(IF(AND(ROWS(I$4:I66)&lt;=I$1,I$1&lt;&gt;""),INDEX($A$4:$A$99,_xlfn.AGGREGATE(15,3,($B$4:$B$99=I$3)/($B$4:$B$99=I$3)*(ROW($B$4:$B$99))-ROW($A$4)+1,ROWS(I$4:I66))),""),"")</f>
        <v/>
      </c>
      <c r="J66" t="str">
        <f>IFERROR(IF(AND(ROWS(J$4:J66)&lt;=J$1,J$1&lt;&gt;""),INDEX($A$4:$A$99,_xlfn.AGGREGATE(15,3,($B$4:$B$99=J$3)/($B$4:$B$99=J$3)*(ROW($B$4:$B$99))-ROW($A$4)+1,ROWS(J$4:J66))),""),"")</f>
        <v/>
      </c>
      <c r="K66" t="str">
        <f>IFERROR(IF(AND(ROWS(K$4:K66)&lt;=K$1,K$1&lt;&gt;""),INDEX($A$4:$A$99,_xlfn.AGGREGATE(15,3,($B$4:$B$99=K$3)/($B$4:$B$99=K$3)*(ROW($B$4:$B$99))-ROW($A$4)+1,ROWS(K$4:K66))),""),"")</f>
        <v/>
      </c>
      <c r="L66" t="str">
        <f>IFERROR(IF(AND(ROWS(L$4:L66)&lt;=L$1,L$1&lt;&gt;""),INDEX($A$4:$A$99,_xlfn.AGGREGATE(15,3,($B$4:$B$99=L$3)/($B$4:$B$99=L$3)*(ROW($B$4:$B$99))-ROW($A$4)+1,ROWS(L$4:L66))),""),"")</f>
        <v/>
      </c>
    </row>
    <row r="67" spans="1:12" x14ac:dyDescent="0.2">
      <c r="A67" t="str">
        <f>combined!O18</f>
        <v>8H-64</v>
      </c>
      <c r="B67" t="str">
        <f>combined!P18</f>
        <v/>
      </c>
      <c r="D67" t="str">
        <f>IFERROR(IF(AND(ROWS(D$4:D67)&lt;=D$1,D$1&lt;&gt;""),INDEX($A$4:$A$99,_xlfn.AGGREGATE(15,3,($B$4:$B$99=D$3)/($B$4:$B$99=D$3)*(ROW($B$4:$B$99))-ROW($A$4)+1,ROWS(D$4:D67))),""),"")</f>
        <v/>
      </c>
      <c r="E67" t="str">
        <f>IFERROR(IF(AND(ROWS(E$4:E67)&lt;=E$1,E$1&lt;&gt;""),INDEX($A$4:$A$99,_xlfn.AGGREGATE(15,3,($B$4:$B$99=E$3)/($B$4:$B$99=E$3)*(ROW($B$4:$B$99))-ROW($A$4)+1,ROWS(E$4:E67))),""),"")</f>
        <v/>
      </c>
      <c r="F67" t="str">
        <f>IFERROR(IF(AND(ROWS(F$4:F67)&lt;=F$1,F$1&lt;&gt;""),INDEX($A$4:$A$99,_xlfn.AGGREGATE(15,3,($B$4:$B$99=F$3)/($B$4:$B$99=F$3)*(ROW($B$4:$B$99))-ROW($A$4)+1,ROWS(F$4:F67))),""),"")</f>
        <v/>
      </c>
      <c r="G67" t="str">
        <f>IFERROR(IF(AND(ROWS(G$4:G67)&lt;=G$1,G$1&lt;&gt;""),INDEX($A$4:$A$99,_xlfn.AGGREGATE(15,3,($B$4:$B$99=G$3)/($B$4:$B$99=G$3)*(ROW($B$4:$B$99))-ROW($A$4)+1,ROWS(G$4:G67))),""),"")</f>
        <v/>
      </c>
      <c r="H67" t="str">
        <f>IFERROR(IF(AND(ROWS(H$4:H67)&lt;=H$1,H$1&lt;&gt;""),INDEX($A$4:$A$99,_xlfn.AGGREGATE(15,3,($B$4:$B$99=H$3)/($B$4:$B$99=H$3)*(ROW($B$4:$B$99))-ROW($A$4)+1,ROWS(H$4:H67))),""),"")</f>
        <v/>
      </c>
      <c r="I67" t="str">
        <f>IFERROR(IF(AND(ROWS(I$4:I67)&lt;=I$1,I$1&lt;&gt;""),INDEX($A$4:$A$99,_xlfn.AGGREGATE(15,3,($B$4:$B$99=I$3)/($B$4:$B$99=I$3)*(ROW($B$4:$B$99))-ROW($A$4)+1,ROWS(I$4:I67))),""),"")</f>
        <v/>
      </c>
      <c r="J67" t="str">
        <f>IFERROR(IF(AND(ROWS(J$4:J67)&lt;=J$1,J$1&lt;&gt;""),INDEX($A$4:$A$99,_xlfn.AGGREGATE(15,3,($B$4:$B$99=J$3)/($B$4:$B$99=J$3)*(ROW($B$4:$B$99))-ROW($A$4)+1,ROWS(J$4:J67))),""),"")</f>
        <v/>
      </c>
      <c r="K67" t="str">
        <f>IFERROR(IF(AND(ROWS(K$4:K67)&lt;=K$1,K$1&lt;&gt;""),INDEX($A$4:$A$99,_xlfn.AGGREGATE(15,3,($B$4:$B$99=K$3)/($B$4:$B$99=K$3)*(ROW($B$4:$B$99))-ROW($A$4)+1,ROWS(K$4:K67))),""),"")</f>
        <v/>
      </c>
      <c r="L67" t="str">
        <f>IFERROR(IF(AND(ROWS(L$4:L67)&lt;=L$1,L$1&lt;&gt;""),INDEX($A$4:$A$99,_xlfn.AGGREGATE(15,3,($B$4:$B$99=L$3)/($B$4:$B$99=L$3)*(ROW($B$4:$B$99))-ROW($A$4)+1,ROWS(L$4:L67))),""),"")</f>
        <v/>
      </c>
    </row>
    <row r="68" spans="1:12" x14ac:dyDescent="0.2">
      <c r="A68" t="str">
        <f>combined!O19</f>
        <v>9A-65</v>
      </c>
      <c r="B68" t="str">
        <f>combined!P19</f>
        <v/>
      </c>
      <c r="D68" t="str">
        <f>IFERROR(IF(AND(ROWS(D$4:D68)&lt;=D$1,D$1&lt;&gt;""),INDEX($A$4:$A$99,_xlfn.AGGREGATE(15,3,($B$4:$B$99=D$3)/($B$4:$B$99=D$3)*(ROW($B$4:$B$99))-ROW($A$4)+1,ROWS(D$4:D68))),""),"")</f>
        <v/>
      </c>
      <c r="E68" t="str">
        <f>IFERROR(IF(AND(ROWS(E$4:E68)&lt;=E$1,E$1&lt;&gt;""),INDEX($A$4:$A$99,_xlfn.AGGREGATE(15,3,($B$4:$B$99=E$3)/($B$4:$B$99=E$3)*(ROW($B$4:$B$99))-ROW($A$4)+1,ROWS(E$4:E68))),""),"")</f>
        <v/>
      </c>
      <c r="F68" t="str">
        <f>IFERROR(IF(AND(ROWS(F$4:F68)&lt;=F$1,F$1&lt;&gt;""),INDEX($A$4:$A$99,_xlfn.AGGREGATE(15,3,($B$4:$B$99=F$3)/($B$4:$B$99=F$3)*(ROW($B$4:$B$99))-ROW($A$4)+1,ROWS(F$4:F68))),""),"")</f>
        <v/>
      </c>
      <c r="G68" t="str">
        <f>IFERROR(IF(AND(ROWS(G$4:G68)&lt;=G$1,G$1&lt;&gt;""),INDEX($A$4:$A$99,_xlfn.AGGREGATE(15,3,($B$4:$B$99=G$3)/($B$4:$B$99=G$3)*(ROW($B$4:$B$99))-ROW($A$4)+1,ROWS(G$4:G68))),""),"")</f>
        <v/>
      </c>
      <c r="H68" t="str">
        <f>IFERROR(IF(AND(ROWS(H$4:H68)&lt;=H$1,H$1&lt;&gt;""),INDEX($A$4:$A$99,_xlfn.AGGREGATE(15,3,($B$4:$B$99=H$3)/($B$4:$B$99=H$3)*(ROW($B$4:$B$99))-ROW($A$4)+1,ROWS(H$4:H68))),""),"")</f>
        <v/>
      </c>
      <c r="I68" t="str">
        <f>IFERROR(IF(AND(ROWS(I$4:I68)&lt;=I$1,I$1&lt;&gt;""),INDEX($A$4:$A$99,_xlfn.AGGREGATE(15,3,($B$4:$B$99=I$3)/($B$4:$B$99=I$3)*(ROW($B$4:$B$99))-ROW($A$4)+1,ROWS(I$4:I68))),""),"")</f>
        <v/>
      </c>
      <c r="J68" t="str">
        <f>IFERROR(IF(AND(ROWS(J$4:J68)&lt;=J$1,J$1&lt;&gt;""),INDEX($A$4:$A$99,_xlfn.AGGREGATE(15,3,($B$4:$B$99=J$3)/($B$4:$B$99=J$3)*(ROW($B$4:$B$99))-ROW($A$4)+1,ROWS(J$4:J68))),""),"")</f>
        <v/>
      </c>
      <c r="K68" t="str">
        <f>IFERROR(IF(AND(ROWS(K$4:K68)&lt;=K$1,K$1&lt;&gt;""),INDEX($A$4:$A$99,_xlfn.AGGREGATE(15,3,($B$4:$B$99=K$3)/($B$4:$B$99=K$3)*(ROW($B$4:$B$99))-ROW($A$4)+1,ROWS(K$4:K68))),""),"")</f>
        <v/>
      </c>
      <c r="L68" t="str">
        <f>IFERROR(IF(AND(ROWS(L$4:L68)&lt;=L$1,L$1&lt;&gt;""),INDEX($A$4:$A$99,_xlfn.AGGREGATE(15,3,($B$4:$B$99=L$3)/($B$4:$B$99=L$3)*(ROW($B$4:$B$99))-ROW($A$4)+1,ROWS(L$4:L68))),""),"")</f>
        <v/>
      </c>
    </row>
    <row r="69" spans="1:12" x14ac:dyDescent="0.2">
      <c r="A69" t="str">
        <f>combined!O20</f>
        <v>9B-66</v>
      </c>
      <c r="B69" t="str">
        <f>combined!P20</f>
        <v/>
      </c>
      <c r="D69" t="str">
        <f>IFERROR(IF(AND(ROWS(D$4:D69)&lt;=D$1,D$1&lt;&gt;""),INDEX($A$4:$A$99,_xlfn.AGGREGATE(15,3,($B$4:$B$99=D$3)/($B$4:$B$99=D$3)*(ROW($B$4:$B$99))-ROW($A$4)+1,ROWS(D$4:D69))),""),"")</f>
        <v/>
      </c>
      <c r="E69" t="str">
        <f>IFERROR(IF(AND(ROWS(E$4:E69)&lt;=E$1,E$1&lt;&gt;""),INDEX($A$4:$A$99,_xlfn.AGGREGATE(15,3,($B$4:$B$99=E$3)/($B$4:$B$99=E$3)*(ROW($B$4:$B$99))-ROW($A$4)+1,ROWS(E$4:E69))),""),"")</f>
        <v/>
      </c>
      <c r="F69" t="str">
        <f>IFERROR(IF(AND(ROWS(F$4:F69)&lt;=F$1,F$1&lt;&gt;""),INDEX($A$4:$A$99,_xlfn.AGGREGATE(15,3,($B$4:$B$99=F$3)/($B$4:$B$99=F$3)*(ROW($B$4:$B$99))-ROW($A$4)+1,ROWS(F$4:F69))),""),"")</f>
        <v/>
      </c>
      <c r="G69" t="str">
        <f>IFERROR(IF(AND(ROWS(G$4:G69)&lt;=G$1,G$1&lt;&gt;""),INDEX($A$4:$A$99,_xlfn.AGGREGATE(15,3,($B$4:$B$99=G$3)/($B$4:$B$99=G$3)*(ROW($B$4:$B$99))-ROW($A$4)+1,ROWS(G$4:G69))),""),"")</f>
        <v/>
      </c>
      <c r="H69" t="str">
        <f>IFERROR(IF(AND(ROWS(H$4:H69)&lt;=H$1,H$1&lt;&gt;""),INDEX($A$4:$A$99,_xlfn.AGGREGATE(15,3,($B$4:$B$99=H$3)/($B$4:$B$99=H$3)*(ROW($B$4:$B$99))-ROW($A$4)+1,ROWS(H$4:H69))),""),"")</f>
        <v/>
      </c>
      <c r="I69" t="str">
        <f>IFERROR(IF(AND(ROWS(I$4:I69)&lt;=I$1,I$1&lt;&gt;""),INDEX($A$4:$A$99,_xlfn.AGGREGATE(15,3,($B$4:$B$99=I$3)/($B$4:$B$99=I$3)*(ROW($B$4:$B$99))-ROW($A$4)+1,ROWS(I$4:I69))),""),"")</f>
        <v/>
      </c>
      <c r="J69" t="str">
        <f>IFERROR(IF(AND(ROWS(J$4:J69)&lt;=J$1,J$1&lt;&gt;""),INDEX($A$4:$A$99,_xlfn.AGGREGATE(15,3,($B$4:$B$99=J$3)/($B$4:$B$99=J$3)*(ROW($B$4:$B$99))-ROW($A$4)+1,ROWS(J$4:J69))),""),"")</f>
        <v/>
      </c>
      <c r="K69" t="str">
        <f>IFERROR(IF(AND(ROWS(K$4:K69)&lt;=K$1,K$1&lt;&gt;""),INDEX($A$4:$A$99,_xlfn.AGGREGATE(15,3,($B$4:$B$99=K$3)/($B$4:$B$99=K$3)*(ROW($B$4:$B$99))-ROW($A$4)+1,ROWS(K$4:K69))),""),"")</f>
        <v/>
      </c>
      <c r="L69" t="str">
        <f>IFERROR(IF(AND(ROWS(L$4:L69)&lt;=L$1,L$1&lt;&gt;""),INDEX($A$4:$A$99,_xlfn.AGGREGATE(15,3,($B$4:$B$99=L$3)/($B$4:$B$99=L$3)*(ROW($B$4:$B$99))-ROW($A$4)+1,ROWS(L$4:L69))),""),"")</f>
        <v/>
      </c>
    </row>
    <row r="70" spans="1:12" x14ac:dyDescent="0.2">
      <c r="A70" t="str">
        <f>combined!O21</f>
        <v>9C-67</v>
      </c>
      <c r="B70" t="str">
        <f>combined!P21</f>
        <v/>
      </c>
      <c r="D70" t="str">
        <f>IFERROR(IF(AND(ROWS(D$4:D70)&lt;=D$1,D$1&lt;&gt;""),INDEX($A$4:$A$99,_xlfn.AGGREGATE(15,3,($B$4:$B$99=D$3)/($B$4:$B$99=D$3)*(ROW($B$4:$B$99))-ROW($A$4)+1,ROWS(D$4:D70))),""),"")</f>
        <v/>
      </c>
      <c r="E70" t="str">
        <f>IFERROR(IF(AND(ROWS(E$4:E70)&lt;=E$1,E$1&lt;&gt;""),INDEX($A$4:$A$99,_xlfn.AGGREGATE(15,3,($B$4:$B$99=E$3)/($B$4:$B$99=E$3)*(ROW($B$4:$B$99))-ROW($A$4)+1,ROWS(E$4:E70))),""),"")</f>
        <v/>
      </c>
      <c r="F70" t="str">
        <f>IFERROR(IF(AND(ROWS(F$4:F70)&lt;=F$1,F$1&lt;&gt;""),INDEX($A$4:$A$99,_xlfn.AGGREGATE(15,3,($B$4:$B$99=F$3)/($B$4:$B$99=F$3)*(ROW($B$4:$B$99))-ROW($A$4)+1,ROWS(F$4:F70))),""),"")</f>
        <v/>
      </c>
      <c r="G70" t="str">
        <f>IFERROR(IF(AND(ROWS(G$4:G70)&lt;=G$1,G$1&lt;&gt;""),INDEX($A$4:$A$99,_xlfn.AGGREGATE(15,3,($B$4:$B$99=G$3)/($B$4:$B$99=G$3)*(ROW($B$4:$B$99))-ROW($A$4)+1,ROWS(G$4:G70))),""),"")</f>
        <v/>
      </c>
      <c r="H70" t="str">
        <f>IFERROR(IF(AND(ROWS(H$4:H70)&lt;=H$1,H$1&lt;&gt;""),INDEX($A$4:$A$99,_xlfn.AGGREGATE(15,3,($B$4:$B$99=H$3)/($B$4:$B$99=H$3)*(ROW($B$4:$B$99))-ROW($A$4)+1,ROWS(H$4:H70))),""),"")</f>
        <v/>
      </c>
      <c r="I70" t="str">
        <f>IFERROR(IF(AND(ROWS(I$4:I70)&lt;=I$1,I$1&lt;&gt;""),INDEX($A$4:$A$99,_xlfn.AGGREGATE(15,3,($B$4:$B$99=I$3)/($B$4:$B$99=I$3)*(ROW($B$4:$B$99))-ROW($A$4)+1,ROWS(I$4:I70))),""),"")</f>
        <v/>
      </c>
      <c r="J70" t="str">
        <f>IFERROR(IF(AND(ROWS(J$4:J70)&lt;=J$1,J$1&lt;&gt;""),INDEX($A$4:$A$99,_xlfn.AGGREGATE(15,3,($B$4:$B$99=J$3)/($B$4:$B$99=J$3)*(ROW($B$4:$B$99))-ROW($A$4)+1,ROWS(J$4:J70))),""),"")</f>
        <v/>
      </c>
      <c r="K70" t="str">
        <f>IFERROR(IF(AND(ROWS(K$4:K70)&lt;=K$1,K$1&lt;&gt;""),INDEX($A$4:$A$99,_xlfn.AGGREGATE(15,3,($B$4:$B$99=K$3)/($B$4:$B$99=K$3)*(ROW($B$4:$B$99))-ROW($A$4)+1,ROWS(K$4:K70))),""),"")</f>
        <v/>
      </c>
      <c r="L70" t="str">
        <f>IFERROR(IF(AND(ROWS(L$4:L70)&lt;=L$1,L$1&lt;&gt;""),INDEX($A$4:$A$99,_xlfn.AGGREGATE(15,3,($B$4:$B$99=L$3)/($B$4:$B$99=L$3)*(ROW($B$4:$B$99))-ROW($A$4)+1,ROWS(L$4:L70))),""),"")</f>
        <v/>
      </c>
    </row>
    <row r="71" spans="1:12" x14ac:dyDescent="0.2">
      <c r="A71" t="str">
        <f>combined!O22</f>
        <v>9D-68</v>
      </c>
      <c r="B71" t="str">
        <f>combined!P22</f>
        <v/>
      </c>
      <c r="D71" t="str">
        <f>IFERROR(IF(AND(ROWS(D$4:D71)&lt;=D$1,D$1&lt;&gt;""),INDEX($A$4:$A$99,_xlfn.AGGREGATE(15,3,($B$4:$B$99=D$3)/($B$4:$B$99=D$3)*(ROW($B$4:$B$99))-ROW($A$4)+1,ROWS(D$4:D71))),""),"")</f>
        <v/>
      </c>
      <c r="E71" t="str">
        <f>IFERROR(IF(AND(ROWS(E$4:E71)&lt;=E$1,E$1&lt;&gt;""),INDEX($A$4:$A$99,_xlfn.AGGREGATE(15,3,($B$4:$B$99=E$3)/($B$4:$B$99=E$3)*(ROW($B$4:$B$99))-ROW($A$4)+1,ROWS(E$4:E71))),""),"")</f>
        <v/>
      </c>
      <c r="F71" t="str">
        <f>IFERROR(IF(AND(ROWS(F$4:F71)&lt;=F$1,F$1&lt;&gt;""),INDEX($A$4:$A$99,_xlfn.AGGREGATE(15,3,($B$4:$B$99=F$3)/($B$4:$B$99=F$3)*(ROW($B$4:$B$99))-ROW($A$4)+1,ROWS(F$4:F71))),""),"")</f>
        <v/>
      </c>
      <c r="G71" t="str">
        <f>IFERROR(IF(AND(ROWS(G$4:G71)&lt;=G$1,G$1&lt;&gt;""),INDEX($A$4:$A$99,_xlfn.AGGREGATE(15,3,($B$4:$B$99=G$3)/($B$4:$B$99=G$3)*(ROW($B$4:$B$99))-ROW($A$4)+1,ROWS(G$4:G71))),""),"")</f>
        <v/>
      </c>
      <c r="H71" t="str">
        <f>IFERROR(IF(AND(ROWS(H$4:H71)&lt;=H$1,H$1&lt;&gt;""),INDEX($A$4:$A$99,_xlfn.AGGREGATE(15,3,($B$4:$B$99=H$3)/($B$4:$B$99=H$3)*(ROW($B$4:$B$99))-ROW($A$4)+1,ROWS(H$4:H71))),""),"")</f>
        <v/>
      </c>
      <c r="I71" t="str">
        <f>IFERROR(IF(AND(ROWS(I$4:I71)&lt;=I$1,I$1&lt;&gt;""),INDEX($A$4:$A$99,_xlfn.AGGREGATE(15,3,($B$4:$B$99=I$3)/($B$4:$B$99=I$3)*(ROW($B$4:$B$99))-ROW($A$4)+1,ROWS(I$4:I71))),""),"")</f>
        <v/>
      </c>
      <c r="J71" t="str">
        <f>IFERROR(IF(AND(ROWS(J$4:J71)&lt;=J$1,J$1&lt;&gt;""),INDEX($A$4:$A$99,_xlfn.AGGREGATE(15,3,($B$4:$B$99=J$3)/($B$4:$B$99=J$3)*(ROW($B$4:$B$99))-ROW($A$4)+1,ROWS(J$4:J71))),""),"")</f>
        <v/>
      </c>
      <c r="K71" t="str">
        <f>IFERROR(IF(AND(ROWS(K$4:K71)&lt;=K$1,K$1&lt;&gt;""),INDEX($A$4:$A$99,_xlfn.AGGREGATE(15,3,($B$4:$B$99=K$3)/($B$4:$B$99=K$3)*(ROW($B$4:$B$99))-ROW($A$4)+1,ROWS(K$4:K71))),""),"")</f>
        <v/>
      </c>
      <c r="L71" t="str">
        <f>IFERROR(IF(AND(ROWS(L$4:L71)&lt;=L$1,L$1&lt;&gt;""),INDEX($A$4:$A$99,_xlfn.AGGREGATE(15,3,($B$4:$B$99=L$3)/($B$4:$B$99=L$3)*(ROW($B$4:$B$99))-ROW($A$4)+1,ROWS(L$4:L71))),""),"")</f>
        <v/>
      </c>
    </row>
    <row r="72" spans="1:12" x14ac:dyDescent="0.2">
      <c r="A72" t="str">
        <f>combined!O23</f>
        <v>9E-69</v>
      </c>
      <c r="B72" t="str">
        <f>combined!P23</f>
        <v/>
      </c>
      <c r="D72" t="str">
        <f>IFERROR(IF(AND(ROWS(D$4:D72)&lt;=D$1,D$1&lt;&gt;""),INDEX($A$4:$A$99,_xlfn.AGGREGATE(15,3,($B$4:$B$99=D$3)/($B$4:$B$99=D$3)*(ROW($B$4:$B$99))-ROW($A$4)+1,ROWS(D$4:D72))),""),"")</f>
        <v/>
      </c>
      <c r="E72" t="str">
        <f>IFERROR(IF(AND(ROWS(E$4:E72)&lt;=E$1,E$1&lt;&gt;""),INDEX($A$4:$A$99,_xlfn.AGGREGATE(15,3,($B$4:$B$99=E$3)/($B$4:$B$99=E$3)*(ROW($B$4:$B$99))-ROW($A$4)+1,ROWS(E$4:E72))),""),"")</f>
        <v/>
      </c>
      <c r="F72" t="str">
        <f>IFERROR(IF(AND(ROWS(F$4:F72)&lt;=F$1,F$1&lt;&gt;""),INDEX($A$4:$A$99,_xlfn.AGGREGATE(15,3,($B$4:$B$99=F$3)/($B$4:$B$99=F$3)*(ROW($B$4:$B$99))-ROW($A$4)+1,ROWS(F$4:F72))),""),"")</f>
        <v/>
      </c>
      <c r="G72" t="str">
        <f>IFERROR(IF(AND(ROWS(G$4:G72)&lt;=G$1,G$1&lt;&gt;""),INDEX($A$4:$A$99,_xlfn.AGGREGATE(15,3,($B$4:$B$99=G$3)/($B$4:$B$99=G$3)*(ROW($B$4:$B$99))-ROW($A$4)+1,ROWS(G$4:G72))),""),"")</f>
        <v/>
      </c>
      <c r="H72" t="str">
        <f>IFERROR(IF(AND(ROWS(H$4:H72)&lt;=H$1,H$1&lt;&gt;""),INDEX($A$4:$A$99,_xlfn.AGGREGATE(15,3,($B$4:$B$99=H$3)/($B$4:$B$99=H$3)*(ROW($B$4:$B$99))-ROW($A$4)+1,ROWS(H$4:H72))),""),"")</f>
        <v/>
      </c>
      <c r="I72" t="str">
        <f>IFERROR(IF(AND(ROWS(I$4:I72)&lt;=I$1,I$1&lt;&gt;""),INDEX($A$4:$A$99,_xlfn.AGGREGATE(15,3,($B$4:$B$99=I$3)/($B$4:$B$99=I$3)*(ROW($B$4:$B$99))-ROW($A$4)+1,ROWS(I$4:I72))),""),"")</f>
        <v/>
      </c>
      <c r="J72" t="str">
        <f>IFERROR(IF(AND(ROWS(J$4:J72)&lt;=J$1,J$1&lt;&gt;""),INDEX($A$4:$A$99,_xlfn.AGGREGATE(15,3,($B$4:$B$99=J$3)/($B$4:$B$99=J$3)*(ROW($B$4:$B$99))-ROW($A$4)+1,ROWS(J$4:J72))),""),"")</f>
        <v/>
      </c>
      <c r="K72" t="str">
        <f>IFERROR(IF(AND(ROWS(K$4:K72)&lt;=K$1,K$1&lt;&gt;""),INDEX($A$4:$A$99,_xlfn.AGGREGATE(15,3,($B$4:$B$99=K$3)/($B$4:$B$99=K$3)*(ROW($B$4:$B$99))-ROW($A$4)+1,ROWS(K$4:K72))),""),"")</f>
        <v/>
      </c>
      <c r="L72" t="str">
        <f>IFERROR(IF(AND(ROWS(L$4:L72)&lt;=L$1,L$1&lt;&gt;""),INDEX($A$4:$A$99,_xlfn.AGGREGATE(15,3,($B$4:$B$99=L$3)/($B$4:$B$99=L$3)*(ROW($B$4:$B$99))-ROW($A$4)+1,ROWS(L$4:L72))),""),"")</f>
        <v/>
      </c>
    </row>
    <row r="73" spans="1:12" x14ac:dyDescent="0.2">
      <c r="A73" t="str">
        <f>combined!O24</f>
        <v>9F-70</v>
      </c>
      <c r="B73" t="str">
        <f>combined!P24</f>
        <v/>
      </c>
      <c r="D73" t="str">
        <f>IFERROR(IF(AND(ROWS(D$4:D73)&lt;=D$1,D$1&lt;&gt;""),INDEX($A$4:$A$99,_xlfn.AGGREGATE(15,3,($B$4:$B$99=D$3)/($B$4:$B$99=D$3)*(ROW($B$4:$B$99))-ROW($A$4)+1,ROWS(D$4:D73))),""),"")</f>
        <v/>
      </c>
      <c r="E73" t="str">
        <f>IFERROR(IF(AND(ROWS(E$4:E73)&lt;=E$1,E$1&lt;&gt;""),INDEX($A$4:$A$99,_xlfn.AGGREGATE(15,3,($B$4:$B$99=E$3)/($B$4:$B$99=E$3)*(ROW($B$4:$B$99))-ROW($A$4)+1,ROWS(E$4:E73))),""),"")</f>
        <v/>
      </c>
      <c r="F73" t="str">
        <f>IFERROR(IF(AND(ROWS(F$4:F73)&lt;=F$1,F$1&lt;&gt;""),INDEX($A$4:$A$99,_xlfn.AGGREGATE(15,3,($B$4:$B$99=F$3)/($B$4:$B$99=F$3)*(ROW($B$4:$B$99))-ROW($A$4)+1,ROWS(F$4:F73))),""),"")</f>
        <v/>
      </c>
      <c r="G73" t="str">
        <f>IFERROR(IF(AND(ROWS(G$4:G73)&lt;=G$1,G$1&lt;&gt;""),INDEX($A$4:$A$99,_xlfn.AGGREGATE(15,3,($B$4:$B$99=G$3)/($B$4:$B$99=G$3)*(ROW($B$4:$B$99))-ROW($A$4)+1,ROWS(G$4:G73))),""),"")</f>
        <v/>
      </c>
      <c r="H73" t="str">
        <f>IFERROR(IF(AND(ROWS(H$4:H73)&lt;=H$1,H$1&lt;&gt;""),INDEX($A$4:$A$99,_xlfn.AGGREGATE(15,3,($B$4:$B$99=H$3)/($B$4:$B$99=H$3)*(ROW($B$4:$B$99))-ROW($A$4)+1,ROWS(H$4:H73))),""),"")</f>
        <v/>
      </c>
      <c r="I73" t="str">
        <f>IFERROR(IF(AND(ROWS(I$4:I73)&lt;=I$1,I$1&lt;&gt;""),INDEX($A$4:$A$99,_xlfn.AGGREGATE(15,3,($B$4:$B$99=I$3)/($B$4:$B$99=I$3)*(ROW($B$4:$B$99))-ROW($A$4)+1,ROWS(I$4:I73))),""),"")</f>
        <v/>
      </c>
      <c r="J73" t="str">
        <f>IFERROR(IF(AND(ROWS(J$4:J73)&lt;=J$1,J$1&lt;&gt;""),INDEX($A$4:$A$99,_xlfn.AGGREGATE(15,3,($B$4:$B$99=J$3)/($B$4:$B$99=J$3)*(ROW($B$4:$B$99))-ROW($A$4)+1,ROWS(J$4:J73))),""),"")</f>
        <v/>
      </c>
      <c r="K73" t="str">
        <f>IFERROR(IF(AND(ROWS(K$4:K73)&lt;=K$1,K$1&lt;&gt;""),INDEX($A$4:$A$99,_xlfn.AGGREGATE(15,3,($B$4:$B$99=K$3)/($B$4:$B$99=K$3)*(ROW($B$4:$B$99))-ROW($A$4)+1,ROWS(K$4:K73))),""),"")</f>
        <v/>
      </c>
      <c r="L73" t="str">
        <f>IFERROR(IF(AND(ROWS(L$4:L73)&lt;=L$1,L$1&lt;&gt;""),INDEX($A$4:$A$99,_xlfn.AGGREGATE(15,3,($B$4:$B$99=L$3)/($B$4:$B$99=L$3)*(ROW($B$4:$B$99))-ROW($A$4)+1,ROWS(L$4:L73))),""),"")</f>
        <v/>
      </c>
    </row>
    <row r="74" spans="1:12" x14ac:dyDescent="0.2">
      <c r="A74" t="str">
        <f>combined!O25</f>
        <v>9G-71</v>
      </c>
      <c r="B74" t="str">
        <f>combined!P25</f>
        <v/>
      </c>
      <c r="D74" t="str">
        <f>IFERROR(IF(AND(ROWS(D$4:D74)&lt;=D$1,D$1&lt;&gt;""),INDEX($A$4:$A$99,_xlfn.AGGREGATE(15,3,($B$4:$B$99=D$3)/($B$4:$B$99=D$3)*(ROW($B$4:$B$99))-ROW($A$4)+1,ROWS(D$4:D74))),""),"")</f>
        <v/>
      </c>
      <c r="E74" t="str">
        <f>IFERROR(IF(AND(ROWS(E$4:E74)&lt;=E$1,E$1&lt;&gt;""),INDEX($A$4:$A$99,_xlfn.AGGREGATE(15,3,($B$4:$B$99=E$3)/($B$4:$B$99=E$3)*(ROW($B$4:$B$99))-ROW($A$4)+1,ROWS(E$4:E74))),""),"")</f>
        <v/>
      </c>
      <c r="F74" t="str">
        <f>IFERROR(IF(AND(ROWS(F$4:F74)&lt;=F$1,F$1&lt;&gt;""),INDEX($A$4:$A$99,_xlfn.AGGREGATE(15,3,($B$4:$B$99=F$3)/($B$4:$B$99=F$3)*(ROW($B$4:$B$99))-ROW($A$4)+1,ROWS(F$4:F74))),""),"")</f>
        <v/>
      </c>
      <c r="G74" t="str">
        <f>IFERROR(IF(AND(ROWS(G$4:G74)&lt;=G$1,G$1&lt;&gt;""),INDEX($A$4:$A$99,_xlfn.AGGREGATE(15,3,($B$4:$B$99=G$3)/($B$4:$B$99=G$3)*(ROW($B$4:$B$99))-ROW($A$4)+1,ROWS(G$4:G74))),""),"")</f>
        <v/>
      </c>
      <c r="H74" t="str">
        <f>IFERROR(IF(AND(ROWS(H$4:H74)&lt;=H$1,H$1&lt;&gt;""),INDEX($A$4:$A$99,_xlfn.AGGREGATE(15,3,($B$4:$B$99=H$3)/($B$4:$B$99=H$3)*(ROW($B$4:$B$99))-ROW($A$4)+1,ROWS(H$4:H74))),""),"")</f>
        <v/>
      </c>
      <c r="I74" t="str">
        <f>IFERROR(IF(AND(ROWS(I$4:I74)&lt;=I$1,I$1&lt;&gt;""),INDEX($A$4:$A$99,_xlfn.AGGREGATE(15,3,($B$4:$B$99=I$3)/($B$4:$B$99=I$3)*(ROW($B$4:$B$99))-ROW($A$4)+1,ROWS(I$4:I74))),""),"")</f>
        <v/>
      </c>
      <c r="J74" t="str">
        <f>IFERROR(IF(AND(ROWS(J$4:J74)&lt;=J$1,J$1&lt;&gt;""),INDEX($A$4:$A$99,_xlfn.AGGREGATE(15,3,($B$4:$B$99=J$3)/($B$4:$B$99=J$3)*(ROW($B$4:$B$99))-ROW($A$4)+1,ROWS(J$4:J74))),""),"")</f>
        <v/>
      </c>
      <c r="K74" t="str">
        <f>IFERROR(IF(AND(ROWS(K$4:K74)&lt;=K$1,K$1&lt;&gt;""),INDEX($A$4:$A$99,_xlfn.AGGREGATE(15,3,($B$4:$B$99=K$3)/($B$4:$B$99=K$3)*(ROW($B$4:$B$99))-ROW($A$4)+1,ROWS(K$4:K74))),""),"")</f>
        <v/>
      </c>
      <c r="L74" t="str">
        <f>IFERROR(IF(AND(ROWS(L$4:L74)&lt;=L$1,L$1&lt;&gt;""),INDEX($A$4:$A$99,_xlfn.AGGREGATE(15,3,($B$4:$B$99=L$3)/($B$4:$B$99=L$3)*(ROW($B$4:$B$99))-ROW($A$4)+1,ROWS(L$4:L74))),""),"")</f>
        <v/>
      </c>
    </row>
    <row r="75" spans="1:12" x14ac:dyDescent="0.2">
      <c r="A75" t="str">
        <f>combined!O26</f>
        <v>9H-72</v>
      </c>
      <c r="B75" t="str">
        <f>combined!P26</f>
        <v/>
      </c>
      <c r="D75" t="str">
        <f>IFERROR(IF(AND(ROWS(D$4:D75)&lt;=D$1,D$1&lt;&gt;""),INDEX($A$4:$A$99,_xlfn.AGGREGATE(15,3,($B$4:$B$99=D$3)/($B$4:$B$99=D$3)*(ROW($B$4:$B$99))-ROW($A$4)+1,ROWS(D$4:D75))),""),"")</f>
        <v/>
      </c>
      <c r="E75" t="str">
        <f>IFERROR(IF(AND(ROWS(E$4:E75)&lt;=E$1,E$1&lt;&gt;""),INDEX($A$4:$A$99,_xlfn.AGGREGATE(15,3,($B$4:$B$99=E$3)/($B$4:$B$99=E$3)*(ROW($B$4:$B$99))-ROW($A$4)+1,ROWS(E$4:E75))),""),"")</f>
        <v/>
      </c>
      <c r="F75" t="str">
        <f>IFERROR(IF(AND(ROWS(F$4:F75)&lt;=F$1,F$1&lt;&gt;""),INDEX($A$4:$A$99,_xlfn.AGGREGATE(15,3,($B$4:$B$99=F$3)/($B$4:$B$99=F$3)*(ROW($B$4:$B$99))-ROW($A$4)+1,ROWS(F$4:F75))),""),"")</f>
        <v/>
      </c>
      <c r="G75" t="str">
        <f>IFERROR(IF(AND(ROWS(G$4:G75)&lt;=G$1,G$1&lt;&gt;""),INDEX($A$4:$A$99,_xlfn.AGGREGATE(15,3,($B$4:$B$99=G$3)/($B$4:$B$99=G$3)*(ROW($B$4:$B$99))-ROW($A$4)+1,ROWS(G$4:G75))),""),"")</f>
        <v/>
      </c>
      <c r="H75" t="str">
        <f>IFERROR(IF(AND(ROWS(H$4:H75)&lt;=H$1,H$1&lt;&gt;""),INDEX($A$4:$A$99,_xlfn.AGGREGATE(15,3,($B$4:$B$99=H$3)/($B$4:$B$99=H$3)*(ROW($B$4:$B$99))-ROW($A$4)+1,ROWS(H$4:H75))),""),"")</f>
        <v/>
      </c>
      <c r="I75" t="str">
        <f>IFERROR(IF(AND(ROWS(I$4:I75)&lt;=I$1,I$1&lt;&gt;""),INDEX($A$4:$A$99,_xlfn.AGGREGATE(15,3,($B$4:$B$99=I$3)/($B$4:$B$99=I$3)*(ROW($B$4:$B$99))-ROW($A$4)+1,ROWS(I$4:I75))),""),"")</f>
        <v/>
      </c>
      <c r="J75" t="str">
        <f>IFERROR(IF(AND(ROWS(J$4:J75)&lt;=J$1,J$1&lt;&gt;""),INDEX($A$4:$A$99,_xlfn.AGGREGATE(15,3,($B$4:$B$99=J$3)/($B$4:$B$99=J$3)*(ROW($B$4:$B$99))-ROW($A$4)+1,ROWS(J$4:J75))),""),"")</f>
        <v/>
      </c>
      <c r="K75" t="str">
        <f>IFERROR(IF(AND(ROWS(K$4:K75)&lt;=K$1,K$1&lt;&gt;""),INDEX($A$4:$A$99,_xlfn.AGGREGATE(15,3,($B$4:$B$99=K$3)/($B$4:$B$99=K$3)*(ROW($B$4:$B$99))-ROW($A$4)+1,ROWS(K$4:K75))),""),"")</f>
        <v/>
      </c>
      <c r="L75" t="str">
        <f>IFERROR(IF(AND(ROWS(L$4:L75)&lt;=L$1,L$1&lt;&gt;""),INDEX($A$4:$A$99,_xlfn.AGGREGATE(15,3,($B$4:$B$99=L$3)/($B$4:$B$99=L$3)*(ROW($B$4:$B$99))-ROW($A$4)+1,ROWS(L$4:L75))),""),"")</f>
        <v/>
      </c>
    </row>
    <row r="76" spans="1:12" x14ac:dyDescent="0.2">
      <c r="A76" t="str">
        <f>combined!Q3</f>
        <v>10A-73</v>
      </c>
      <c r="B76" t="str">
        <f>combined!R3</f>
        <v/>
      </c>
      <c r="D76" t="str">
        <f>IFERROR(IF(AND(ROWS(D$4:D76)&lt;=D$1,D$1&lt;&gt;""),INDEX($A$4:$A$99,_xlfn.AGGREGATE(15,3,($B$4:$B$99=D$3)/($B$4:$B$99=D$3)*(ROW($B$4:$B$99))-ROW($A$4)+1,ROWS(D$4:D76))),""),"")</f>
        <v/>
      </c>
      <c r="E76" t="str">
        <f>IFERROR(IF(AND(ROWS(E$4:E76)&lt;=E$1,E$1&lt;&gt;""),INDEX($A$4:$A$99,_xlfn.AGGREGATE(15,3,($B$4:$B$99=E$3)/($B$4:$B$99=E$3)*(ROW($B$4:$B$99))-ROW($A$4)+1,ROWS(E$4:E76))),""),"")</f>
        <v/>
      </c>
      <c r="F76" t="str">
        <f>IFERROR(IF(AND(ROWS(F$4:F76)&lt;=F$1,F$1&lt;&gt;""),INDEX($A$4:$A$99,_xlfn.AGGREGATE(15,3,($B$4:$B$99=F$3)/($B$4:$B$99=F$3)*(ROW($B$4:$B$99))-ROW($A$4)+1,ROWS(F$4:F76))),""),"")</f>
        <v/>
      </c>
      <c r="G76" t="str">
        <f>IFERROR(IF(AND(ROWS(G$4:G76)&lt;=G$1,G$1&lt;&gt;""),INDEX($A$4:$A$99,_xlfn.AGGREGATE(15,3,($B$4:$B$99=G$3)/($B$4:$B$99=G$3)*(ROW($B$4:$B$99))-ROW($A$4)+1,ROWS(G$4:G76))),""),"")</f>
        <v/>
      </c>
      <c r="H76" t="str">
        <f>IFERROR(IF(AND(ROWS(H$4:H76)&lt;=H$1,H$1&lt;&gt;""),INDEX($A$4:$A$99,_xlfn.AGGREGATE(15,3,($B$4:$B$99=H$3)/($B$4:$B$99=H$3)*(ROW($B$4:$B$99))-ROW($A$4)+1,ROWS(H$4:H76))),""),"")</f>
        <v/>
      </c>
      <c r="I76" t="str">
        <f>IFERROR(IF(AND(ROWS(I$4:I76)&lt;=I$1,I$1&lt;&gt;""),INDEX($A$4:$A$99,_xlfn.AGGREGATE(15,3,($B$4:$B$99=I$3)/($B$4:$B$99=I$3)*(ROW($B$4:$B$99))-ROW($A$4)+1,ROWS(I$4:I76))),""),"")</f>
        <v/>
      </c>
      <c r="J76" t="str">
        <f>IFERROR(IF(AND(ROWS(J$4:J76)&lt;=J$1,J$1&lt;&gt;""),INDEX($A$4:$A$99,_xlfn.AGGREGATE(15,3,($B$4:$B$99=J$3)/($B$4:$B$99=J$3)*(ROW($B$4:$B$99))-ROW($A$4)+1,ROWS(J$4:J76))),""),"")</f>
        <v/>
      </c>
      <c r="K76" t="str">
        <f>IFERROR(IF(AND(ROWS(K$4:K76)&lt;=K$1,K$1&lt;&gt;""),INDEX($A$4:$A$99,_xlfn.AGGREGATE(15,3,($B$4:$B$99=K$3)/($B$4:$B$99=K$3)*(ROW($B$4:$B$99))-ROW($A$4)+1,ROWS(K$4:K76))),""),"")</f>
        <v/>
      </c>
      <c r="L76" t="str">
        <f>IFERROR(IF(AND(ROWS(L$4:L76)&lt;=L$1,L$1&lt;&gt;""),INDEX($A$4:$A$99,_xlfn.AGGREGATE(15,3,($B$4:$B$99=L$3)/($B$4:$B$99=L$3)*(ROW($B$4:$B$99))-ROW($A$4)+1,ROWS(L$4:L76))),""),"")</f>
        <v/>
      </c>
    </row>
    <row r="77" spans="1:12" x14ac:dyDescent="0.2">
      <c r="A77" t="str">
        <f>combined!Q4</f>
        <v>10B-74</v>
      </c>
      <c r="B77" t="str">
        <f>combined!R4</f>
        <v/>
      </c>
      <c r="D77" t="str">
        <f>IFERROR(IF(AND(ROWS(D$4:D77)&lt;=D$1,D$1&lt;&gt;""),INDEX($A$4:$A$99,_xlfn.AGGREGATE(15,3,($B$4:$B$99=D$3)/($B$4:$B$99=D$3)*(ROW($B$4:$B$99))-ROW($A$4)+1,ROWS(D$4:D77))),""),"")</f>
        <v/>
      </c>
      <c r="E77" t="str">
        <f>IFERROR(IF(AND(ROWS(E$4:E77)&lt;=E$1,E$1&lt;&gt;""),INDEX($A$4:$A$99,_xlfn.AGGREGATE(15,3,($B$4:$B$99=E$3)/($B$4:$B$99=E$3)*(ROW($B$4:$B$99))-ROW($A$4)+1,ROWS(E$4:E77))),""),"")</f>
        <v/>
      </c>
      <c r="F77" t="str">
        <f>IFERROR(IF(AND(ROWS(F$4:F77)&lt;=F$1,F$1&lt;&gt;""),INDEX($A$4:$A$99,_xlfn.AGGREGATE(15,3,($B$4:$B$99=F$3)/($B$4:$B$99=F$3)*(ROW($B$4:$B$99))-ROW($A$4)+1,ROWS(F$4:F77))),""),"")</f>
        <v/>
      </c>
      <c r="G77" t="str">
        <f>IFERROR(IF(AND(ROWS(G$4:G77)&lt;=G$1,G$1&lt;&gt;""),INDEX($A$4:$A$99,_xlfn.AGGREGATE(15,3,($B$4:$B$99=G$3)/($B$4:$B$99=G$3)*(ROW($B$4:$B$99))-ROW($A$4)+1,ROWS(G$4:G77))),""),"")</f>
        <v/>
      </c>
      <c r="H77" t="str">
        <f>IFERROR(IF(AND(ROWS(H$4:H77)&lt;=H$1,H$1&lt;&gt;""),INDEX($A$4:$A$99,_xlfn.AGGREGATE(15,3,($B$4:$B$99=H$3)/($B$4:$B$99=H$3)*(ROW($B$4:$B$99))-ROW($A$4)+1,ROWS(H$4:H77))),""),"")</f>
        <v/>
      </c>
      <c r="I77" t="str">
        <f>IFERROR(IF(AND(ROWS(I$4:I77)&lt;=I$1,I$1&lt;&gt;""),INDEX($A$4:$A$99,_xlfn.AGGREGATE(15,3,($B$4:$B$99=I$3)/($B$4:$B$99=I$3)*(ROW($B$4:$B$99))-ROW($A$4)+1,ROWS(I$4:I77))),""),"")</f>
        <v/>
      </c>
      <c r="J77" t="str">
        <f>IFERROR(IF(AND(ROWS(J$4:J77)&lt;=J$1,J$1&lt;&gt;""),INDEX($A$4:$A$99,_xlfn.AGGREGATE(15,3,($B$4:$B$99=J$3)/($B$4:$B$99=J$3)*(ROW($B$4:$B$99))-ROW($A$4)+1,ROWS(J$4:J77))),""),"")</f>
        <v/>
      </c>
      <c r="K77" t="str">
        <f>IFERROR(IF(AND(ROWS(K$4:K77)&lt;=K$1,K$1&lt;&gt;""),INDEX($A$4:$A$99,_xlfn.AGGREGATE(15,3,($B$4:$B$99=K$3)/($B$4:$B$99=K$3)*(ROW($B$4:$B$99))-ROW($A$4)+1,ROWS(K$4:K77))),""),"")</f>
        <v/>
      </c>
      <c r="L77" t="str">
        <f>IFERROR(IF(AND(ROWS(L$4:L77)&lt;=L$1,L$1&lt;&gt;""),INDEX($A$4:$A$99,_xlfn.AGGREGATE(15,3,($B$4:$B$99=L$3)/($B$4:$B$99=L$3)*(ROW($B$4:$B$99))-ROW($A$4)+1,ROWS(L$4:L77))),""),"")</f>
        <v/>
      </c>
    </row>
    <row r="78" spans="1:12" x14ac:dyDescent="0.2">
      <c r="A78" t="str">
        <f>combined!Q5</f>
        <v>10C-75</v>
      </c>
      <c r="B78" t="str">
        <f>combined!R5</f>
        <v/>
      </c>
      <c r="D78" t="str">
        <f>IFERROR(IF(AND(ROWS(D$4:D78)&lt;=D$1,D$1&lt;&gt;""),INDEX($A$4:$A$99,_xlfn.AGGREGATE(15,3,($B$4:$B$99=D$3)/($B$4:$B$99=D$3)*(ROW($B$4:$B$99))-ROW($A$4)+1,ROWS(D$4:D78))),""),"")</f>
        <v/>
      </c>
      <c r="E78" t="str">
        <f>IFERROR(IF(AND(ROWS(E$4:E78)&lt;=E$1,E$1&lt;&gt;""),INDEX($A$4:$A$99,_xlfn.AGGREGATE(15,3,($B$4:$B$99=E$3)/($B$4:$B$99=E$3)*(ROW($B$4:$B$99))-ROW($A$4)+1,ROWS(E$4:E78))),""),"")</f>
        <v/>
      </c>
      <c r="F78" t="str">
        <f>IFERROR(IF(AND(ROWS(F$4:F78)&lt;=F$1,F$1&lt;&gt;""),INDEX($A$4:$A$99,_xlfn.AGGREGATE(15,3,($B$4:$B$99=F$3)/($B$4:$B$99=F$3)*(ROW($B$4:$B$99))-ROW($A$4)+1,ROWS(F$4:F78))),""),"")</f>
        <v/>
      </c>
      <c r="G78" t="str">
        <f>IFERROR(IF(AND(ROWS(G$4:G78)&lt;=G$1,G$1&lt;&gt;""),INDEX($A$4:$A$99,_xlfn.AGGREGATE(15,3,($B$4:$B$99=G$3)/($B$4:$B$99=G$3)*(ROW($B$4:$B$99))-ROW($A$4)+1,ROWS(G$4:G78))),""),"")</f>
        <v/>
      </c>
      <c r="H78" t="str">
        <f>IFERROR(IF(AND(ROWS(H$4:H78)&lt;=H$1,H$1&lt;&gt;""),INDEX($A$4:$A$99,_xlfn.AGGREGATE(15,3,($B$4:$B$99=H$3)/($B$4:$B$99=H$3)*(ROW($B$4:$B$99))-ROW($A$4)+1,ROWS(H$4:H78))),""),"")</f>
        <v/>
      </c>
      <c r="I78" t="str">
        <f>IFERROR(IF(AND(ROWS(I$4:I78)&lt;=I$1,I$1&lt;&gt;""),INDEX($A$4:$A$99,_xlfn.AGGREGATE(15,3,($B$4:$B$99=I$3)/($B$4:$B$99=I$3)*(ROW($B$4:$B$99))-ROW($A$4)+1,ROWS(I$4:I78))),""),"")</f>
        <v/>
      </c>
      <c r="J78" t="str">
        <f>IFERROR(IF(AND(ROWS(J$4:J78)&lt;=J$1,J$1&lt;&gt;""),INDEX($A$4:$A$99,_xlfn.AGGREGATE(15,3,($B$4:$B$99=J$3)/($B$4:$B$99=J$3)*(ROW($B$4:$B$99))-ROW($A$4)+1,ROWS(J$4:J78))),""),"")</f>
        <v/>
      </c>
      <c r="K78" t="str">
        <f>IFERROR(IF(AND(ROWS(K$4:K78)&lt;=K$1,K$1&lt;&gt;""),INDEX($A$4:$A$99,_xlfn.AGGREGATE(15,3,($B$4:$B$99=K$3)/($B$4:$B$99=K$3)*(ROW($B$4:$B$99))-ROW($A$4)+1,ROWS(K$4:K78))),""),"")</f>
        <v/>
      </c>
      <c r="L78" t="str">
        <f>IFERROR(IF(AND(ROWS(L$4:L78)&lt;=L$1,L$1&lt;&gt;""),INDEX($A$4:$A$99,_xlfn.AGGREGATE(15,3,($B$4:$B$99=L$3)/($B$4:$B$99=L$3)*(ROW($B$4:$B$99))-ROW($A$4)+1,ROWS(L$4:L78))),""),"")</f>
        <v/>
      </c>
    </row>
    <row r="79" spans="1:12" x14ac:dyDescent="0.2">
      <c r="A79" t="str">
        <f>combined!Q6</f>
        <v>10D-76</v>
      </c>
      <c r="B79" t="str">
        <f>combined!R6</f>
        <v/>
      </c>
      <c r="D79" t="str">
        <f>IFERROR(IF(AND(ROWS(D$4:D79)&lt;=D$1,D$1&lt;&gt;""),INDEX($A$4:$A$99,_xlfn.AGGREGATE(15,3,($B$4:$B$99=D$3)/($B$4:$B$99=D$3)*(ROW($B$4:$B$99))-ROW($A$4)+1,ROWS(D$4:D79))),""),"")</f>
        <v/>
      </c>
      <c r="E79" t="str">
        <f>IFERROR(IF(AND(ROWS(E$4:E79)&lt;=E$1,E$1&lt;&gt;""),INDEX($A$4:$A$99,_xlfn.AGGREGATE(15,3,($B$4:$B$99=E$3)/($B$4:$B$99=E$3)*(ROW($B$4:$B$99))-ROW($A$4)+1,ROWS(E$4:E79))),""),"")</f>
        <v/>
      </c>
      <c r="F79" t="str">
        <f>IFERROR(IF(AND(ROWS(F$4:F79)&lt;=F$1,F$1&lt;&gt;""),INDEX($A$4:$A$99,_xlfn.AGGREGATE(15,3,($B$4:$B$99=F$3)/($B$4:$B$99=F$3)*(ROW($B$4:$B$99))-ROW($A$4)+1,ROWS(F$4:F79))),""),"")</f>
        <v/>
      </c>
      <c r="G79" t="str">
        <f>IFERROR(IF(AND(ROWS(G$4:G79)&lt;=G$1,G$1&lt;&gt;""),INDEX($A$4:$A$99,_xlfn.AGGREGATE(15,3,($B$4:$B$99=G$3)/($B$4:$B$99=G$3)*(ROW($B$4:$B$99))-ROW($A$4)+1,ROWS(G$4:G79))),""),"")</f>
        <v/>
      </c>
      <c r="H79" t="str">
        <f>IFERROR(IF(AND(ROWS(H$4:H79)&lt;=H$1,H$1&lt;&gt;""),INDEX($A$4:$A$99,_xlfn.AGGREGATE(15,3,($B$4:$B$99=H$3)/($B$4:$B$99=H$3)*(ROW($B$4:$B$99))-ROW($A$4)+1,ROWS(H$4:H79))),""),"")</f>
        <v/>
      </c>
      <c r="I79" t="str">
        <f>IFERROR(IF(AND(ROWS(I$4:I79)&lt;=I$1,I$1&lt;&gt;""),INDEX($A$4:$A$99,_xlfn.AGGREGATE(15,3,($B$4:$B$99=I$3)/($B$4:$B$99=I$3)*(ROW($B$4:$B$99))-ROW($A$4)+1,ROWS(I$4:I79))),""),"")</f>
        <v/>
      </c>
      <c r="J79" t="str">
        <f>IFERROR(IF(AND(ROWS(J$4:J79)&lt;=J$1,J$1&lt;&gt;""),INDEX($A$4:$A$99,_xlfn.AGGREGATE(15,3,($B$4:$B$99=J$3)/($B$4:$B$99=J$3)*(ROW($B$4:$B$99))-ROW($A$4)+1,ROWS(J$4:J79))),""),"")</f>
        <v/>
      </c>
      <c r="K79" t="str">
        <f>IFERROR(IF(AND(ROWS(K$4:K79)&lt;=K$1,K$1&lt;&gt;""),INDEX($A$4:$A$99,_xlfn.AGGREGATE(15,3,($B$4:$B$99=K$3)/($B$4:$B$99=K$3)*(ROW($B$4:$B$99))-ROW($A$4)+1,ROWS(K$4:K79))),""),"")</f>
        <v/>
      </c>
      <c r="L79" t="str">
        <f>IFERROR(IF(AND(ROWS(L$4:L79)&lt;=L$1,L$1&lt;&gt;""),INDEX($A$4:$A$99,_xlfn.AGGREGATE(15,3,($B$4:$B$99=L$3)/($B$4:$B$99=L$3)*(ROW($B$4:$B$99))-ROW($A$4)+1,ROWS(L$4:L79))),""),"")</f>
        <v/>
      </c>
    </row>
    <row r="80" spans="1:12" x14ac:dyDescent="0.2">
      <c r="A80" t="str">
        <f>combined!Q7</f>
        <v>10E-77</v>
      </c>
      <c r="B80" t="str">
        <f>combined!R7</f>
        <v/>
      </c>
      <c r="D80" t="str">
        <f>IFERROR(IF(AND(ROWS(D$4:D80)&lt;=D$1,D$1&lt;&gt;""),INDEX($A$4:$A$99,_xlfn.AGGREGATE(15,3,($B$4:$B$99=D$3)/($B$4:$B$99=D$3)*(ROW($B$4:$B$99))-ROW($A$4)+1,ROWS(D$4:D80))),""),"")</f>
        <v/>
      </c>
      <c r="E80" t="str">
        <f>IFERROR(IF(AND(ROWS(E$4:E80)&lt;=E$1,E$1&lt;&gt;""),INDEX($A$4:$A$99,_xlfn.AGGREGATE(15,3,($B$4:$B$99=E$3)/($B$4:$B$99=E$3)*(ROW($B$4:$B$99))-ROW($A$4)+1,ROWS(E$4:E80))),""),"")</f>
        <v/>
      </c>
      <c r="F80" t="str">
        <f>IFERROR(IF(AND(ROWS(F$4:F80)&lt;=F$1,F$1&lt;&gt;""),INDEX($A$4:$A$99,_xlfn.AGGREGATE(15,3,($B$4:$B$99=F$3)/($B$4:$B$99=F$3)*(ROW($B$4:$B$99))-ROW($A$4)+1,ROWS(F$4:F80))),""),"")</f>
        <v/>
      </c>
      <c r="G80" t="str">
        <f>IFERROR(IF(AND(ROWS(G$4:G80)&lt;=G$1,G$1&lt;&gt;""),INDEX($A$4:$A$99,_xlfn.AGGREGATE(15,3,($B$4:$B$99=G$3)/($B$4:$B$99=G$3)*(ROW($B$4:$B$99))-ROW($A$4)+1,ROWS(G$4:G80))),""),"")</f>
        <v/>
      </c>
      <c r="H80" t="str">
        <f>IFERROR(IF(AND(ROWS(H$4:H80)&lt;=H$1,H$1&lt;&gt;""),INDEX($A$4:$A$99,_xlfn.AGGREGATE(15,3,($B$4:$B$99=H$3)/($B$4:$B$99=H$3)*(ROW($B$4:$B$99))-ROW($A$4)+1,ROWS(H$4:H80))),""),"")</f>
        <v/>
      </c>
      <c r="I80" t="str">
        <f>IFERROR(IF(AND(ROWS(I$4:I80)&lt;=I$1,I$1&lt;&gt;""),INDEX($A$4:$A$99,_xlfn.AGGREGATE(15,3,($B$4:$B$99=I$3)/($B$4:$B$99=I$3)*(ROW($B$4:$B$99))-ROW($A$4)+1,ROWS(I$4:I80))),""),"")</f>
        <v/>
      </c>
      <c r="J80" t="str">
        <f>IFERROR(IF(AND(ROWS(J$4:J80)&lt;=J$1,J$1&lt;&gt;""),INDEX($A$4:$A$99,_xlfn.AGGREGATE(15,3,($B$4:$B$99=J$3)/($B$4:$B$99=J$3)*(ROW($B$4:$B$99))-ROW($A$4)+1,ROWS(J$4:J80))),""),"")</f>
        <v/>
      </c>
      <c r="K80" t="str">
        <f>IFERROR(IF(AND(ROWS(K$4:K80)&lt;=K$1,K$1&lt;&gt;""),INDEX($A$4:$A$99,_xlfn.AGGREGATE(15,3,($B$4:$B$99=K$3)/($B$4:$B$99=K$3)*(ROW($B$4:$B$99))-ROW($A$4)+1,ROWS(K$4:K80))),""),"")</f>
        <v/>
      </c>
      <c r="L80" t="str">
        <f>IFERROR(IF(AND(ROWS(L$4:L80)&lt;=L$1,L$1&lt;&gt;""),INDEX($A$4:$A$99,_xlfn.AGGREGATE(15,3,($B$4:$B$99=L$3)/($B$4:$B$99=L$3)*(ROW($B$4:$B$99))-ROW($A$4)+1,ROWS(L$4:L80))),""),"")</f>
        <v/>
      </c>
    </row>
    <row r="81" spans="1:12" x14ac:dyDescent="0.2">
      <c r="A81" t="str">
        <f>combined!Q8</f>
        <v>10F-78</v>
      </c>
      <c r="B81" t="str">
        <f>combined!R8</f>
        <v/>
      </c>
      <c r="D81" t="str">
        <f>IFERROR(IF(AND(ROWS(D$4:D81)&lt;=D$1,D$1&lt;&gt;""),INDEX($A$4:$A$99,_xlfn.AGGREGATE(15,3,($B$4:$B$99=D$3)/($B$4:$B$99=D$3)*(ROW($B$4:$B$99))-ROW($A$4)+1,ROWS(D$4:D81))),""),"")</f>
        <v/>
      </c>
      <c r="E81" t="str">
        <f>IFERROR(IF(AND(ROWS(E$4:E81)&lt;=E$1,E$1&lt;&gt;""),INDEX($A$4:$A$99,_xlfn.AGGREGATE(15,3,($B$4:$B$99=E$3)/($B$4:$B$99=E$3)*(ROW($B$4:$B$99))-ROW($A$4)+1,ROWS(E$4:E81))),""),"")</f>
        <v/>
      </c>
      <c r="F81" t="str">
        <f>IFERROR(IF(AND(ROWS(F$4:F81)&lt;=F$1,F$1&lt;&gt;""),INDEX($A$4:$A$99,_xlfn.AGGREGATE(15,3,($B$4:$B$99=F$3)/($B$4:$B$99=F$3)*(ROW($B$4:$B$99))-ROW($A$4)+1,ROWS(F$4:F81))),""),"")</f>
        <v/>
      </c>
      <c r="G81" t="str">
        <f>IFERROR(IF(AND(ROWS(G$4:G81)&lt;=G$1,G$1&lt;&gt;""),INDEX($A$4:$A$99,_xlfn.AGGREGATE(15,3,($B$4:$B$99=G$3)/($B$4:$B$99=G$3)*(ROW($B$4:$B$99))-ROW($A$4)+1,ROWS(G$4:G81))),""),"")</f>
        <v/>
      </c>
      <c r="H81" t="str">
        <f>IFERROR(IF(AND(ROWS(H$4:H81)&lt;=H$1,H$1&lt;&gt;""),INDEX($A$4:$A$99,_xlfn.AGGREGATE(15,3,($B$4:$B$99=H$3)/($B$4:$B$99=H$3)*(ROW($B$4:$B$99))-ROW($A$4)+1,ROWS(H$4:H81))),""),"")</f>
        <v/>
      </c>
      <c r="I81" t="str">
        <f>IFERROR(IF(AND(ROWS(I$4:I81)&lt;=I$1,I$1&lt;&gt;""),INDEX($A$4:$A$99,_xlfn.AGGREGATE(15,3,($B$4:$B$99=I$3)/($B$4:$B$99=I$3)*(ROW($B$4:$B$99))-ROW($A$4)+1,ROWS(I$4:I81))),""),"")</f>
        <v/>
      </c>
      <c r="J81" t="str">
        <f>IFERROR(IF(AND(ROWS(J$4:J81)&lt;=J$1,J$1&lt;&gt;""),INDEX($A$4:$A$99,_xlfn.AGGREGATE(15,3,($B$4:$B$99=J$3)/($B$4:$B$99=J$3)*(ROW($B$4:$B$99))-ROW($A$4)+1,ROWS(J$4:J81))),""),"")</f>
        <v/>
      </c>
      <c r="K81" t="str">
        <f>IFERROR(IF(AND(ROWS(K$4:K81)&lt;=K$1,K$1&lt;&gt;""),INDEX($A$4:$A$99,_xlfn.AGGREGATE(15,3,($B$4:$B$99=K$3)/($B$4:$B$99=K$3)*(ROW($B$4:$B$99))-ROW($A$4)+1,ROWS(K$4:K81))),""),"")</f>
        <v/>
      </c>
      <c r="L81" t="str">
        <f>IFERROR(IF(AND(ROWS(L$4:L81)&lt;=L$1,L$1&lt;&gt;""),INDEX($A$4:$A$99,_xlfn.AGGREGATE(15,3,($B$4:$B$99=L$3)/($B$4:$B$99=L$3)*(ROW($B$4:$B$99))-ROW($A$4)+1,ROWS(L$4:L81))),""),"")</f>
        <v/>
      </c>
    </row>
    <row r="82" spans="1:12" x14ac:dyDescent="0.2">
      <c r="A82" t="str">
        <f>combined!Q9</f>
        <v>10G-79</v>
      </c>
      <c r="B82" t="str">
        <f>combined!R9</f>
        <v/>
      </c>
      <c r="D82" t="str">
        <f>IFERROR(IF(AND(ROWS(D$4:D82)&lt;=D$1,D$1&lt;&gt;""),INDEX($A$4:$A$99,_xlfn.AGGREGATE(15,3,($B$4:$B$99=D$3)/($B$4:$B$99=D$3)*(ROW($B$4:$B$99))-ROW($A$4)+1,ROWS(D$4:D82))),""),"")</f>
        <v/>
      </c>
      <c r="E82" t="str">
        <f>IFERROR(IF(AND(ROWS(E$4:E82)&lt;=E$1,E$1&lt;&gt;""),INDEX($A$4:$A$99,_xlfn.AGGREGATE(15,3,($B$4:$B$99=E$3)/($B$4:$B$99=E$3)*(ROW($B$4:$B$99))-ROW($A$4)+1,ROWS(E$4:E82))),""),"")</f>
        <v/>
      </c>
      <c r="F82" t="str">
        <f>IFERROR(IF(AND(ROWS(F$4:F82)&lt;=F$1,F$1&lt;&gt;""),INDEX($A$4:$A$99,_xlfn.AGGREGATE(15,3,($B$4:$B$99=F$3)/($B$4:$B$99=F$3)*(ROW($B$4:$B$99))-ROW($A$4)+1,ROWS(F$4:F82))),""),"")</f>
        <v/>
      </c>
      <c r="G82" t="str">
        <f>IFERROR(IF(AND(ROWS(G$4:G82)&lt;=G$1,G$1&lt;&gt;""),INDEX($A$4:$A$99,_xlfn.AGGREGATE(15,3,($B$4:$B$99=G$3)/($B$4:$B$99=G$3)*(ROW($B$4:$B$99))-ROW($A$4)+1,ROWS(G$4:G82))),""),"")</f>
        <v/>
      </c>
      <c r="H82" t="str">
        <f>IFERROR(IF(AND(ROWS(H$4:H82)&lt;=H$1,H$1&lt;&gt;""),INDEX($A$4:$A$99,_xlfn.AGGREGATE(15,3,($B$4:$B$99=H$3)/($B$4:$B$99=H$3)*(ROW($B$4:$B$99))-ROW($A$4)+1,ROWS(H$4:H82))),""),"")</f>
        <v/>
      </c>
      <c r="I82" t="str">
        <f>IFERROR(IF(AND(ROWS(I$4:I82)&lt;=I$1,I$1&lt;&gt;""),INDEX($A$4:$A$99,_xlfn.AGGREGATE(15,3,($B$4:$B$99=I$3)/($B$4:$B$99=I$3)*(ROW($B$4:$B$99))-ROW($A$4)+1,ROWS(I$4:I82))),""),"")</f>
        <v/>
      </c>
      <c r="J82" t="str">
        <f>IFERROR(IF(AND(ROWS(J$4:J82)&lt;=J$1,J$1&lt;&gt;""),INDEX($A$4:$A$99,_xlfn.AGGREGATE(15,3,($B$4:$B$99=J$3)/($B$4:$B$99=J$3)*(ROW($B$4:$B$99))-ROW($A$4)+1,ROWS(J$4:J82))),""),"")</f>
        <v/>
      </c>
      <c r="K82" t="str">
        <f>IFERROR(IF(AND(ROWS(K$4:K82)&lt;=K$1,K$1&lt;&gt;""),INDEX($A$4:$A$99,_xlfn.AGGREGATE(15,3,($B$4:$B$99=K$3)/($B$4:$B$99=K$3)*(ROW($B$4:$B$99))-ROW($A$4)+1,ROWS(K$4:K82))),""),"")</f>
        <v/>
      </c>
      <c r="L82" t="str">
        <f>IFERROR(IF(AND(ROWS(L$4:L82)&lt;=L$1,L$1&lt;&gt;""),INDEX($A$4:$A$99,_xlfn.AGGREGATE(15,3,($B$4:$B$99=L$3)/($B$4:$B$99=L$3)*(ROW($B$4:$B$99))-ROW($A$4)+1,ROWS(L$4:L82))),""),"")</f>
        <v/>
      </c>
    </row>
    <row r="83" spans="1:12" x14ac:dyDescent="0.2">
      <c r="A83" t="str">
        <f>combined!Q10</f>
        <v>10H-80</v>
      </c>
      <c r="B83" t="str">
        <f>combined!R10</f>
        <v/>
      </c>
      <c r="D83" t="str">
        <f>IFERROR(IF(AND(ROWS(D$4:D83)&lt;=D$1,D$1&lt;&gt;""),INDEX($A$4:$A$99,_xlfn.AGGREGATE(15,3,($B$4:$B$99=D$3)/($B$4:$B$99=D$3)*(ROW($B$4:$B$99))-ROW($A$4)+1,ROWS(D$4:D83))),""),"")</f>
        <v/>
      </c>
      <c r="E83" t="str">
        <f>IFERROR(IF(AND(ROWS(E$4:E83)&lt;=E$1,E$1&lt;&gt;""),INDEX($A$4:$A$99,_xlfn.AGGREGATE(15,3,($B$4:$B$99=E$3)/($B$4:$B$99=E$3)*(ROW($B$4:$B$99))-ROW($A$4)+1,ROWS(E$4:E83))),""),"")</f>
        <v/>
      </c>
      <c r="F83" t="str">
        <f>IFERROR(IF(AND(ROWS(F$4:F83)&lt;=F$1,F$1&lt;&gt;""),INDEX($A$4:$A$99,_xlfn.AGGREGATE(15,3,($B$4:$B$99=F$3)/($B$4:$B$99=F$3)*(ROW($B$4:$B$99))-ROW($A$4)+1,ROWS(F$4:F83))),""),"")</f>
        <v/>
      </c>
      <c r="G83" t="str">
        <f>IFERROR(IF(AND(ROWS(G$4:G83)&lt;=G$1,G$1&lt;&gt;""),INDEX($A$4:$A$99,_xlfn.AGGREGATE(15,3,($B$4:$B$99=G$3)/($B$4:$B$99=G$3)*(ROW($B$4:$B$99))-ROW($A$4)+1,ROWS(G$4:G83))),""),"")</f>
        <v/>
      </c>
      <c r="H83" t="str">
        <f>IFERROR(IF(AND(ROWS(H$4:H83)&lt;=H$1,H$1&lt;&gt;""),INDEX($A$4:$A$99,_xlfn.AGGREGATE(15,3,($B$4:$B$99=H$3)/($B$4:$B$99=H$3)*(ROW($B$4:$B$99))-ROW($A$4)+1,ROWS(H$4:H83))),""),"")</f>
        <v/>
      </c>
      <c r="I83" t="str">
        <f>IFERROR(IF(AND(ROWS(I$4:I83)&lt;=I$1,I$1&lt;&gt;""),INDEX($A$4:$A$99,_xlfn.AGGREGATE(15,3,($B$4:$B$99=I$3)/($B$4:$B$99=I$3)*(ROW($B$4:$B$99))-ROW($A$4)+1,ROWS(I$4:I83))),""),"")</f>
        <v/>
      </c>
      <c r="J83" t="str">
        <f>IFERROR(IF(AND(ROWS(J$4:J83)&lt;=J$1,J$1&lt;&gt;""),INDEX($A$4:$A$99,_xlfn.AGGREGATE(15,3,($B$4:$B$99=J$3)/($B$4:$B$99=J$3)*(ROW($B$4:$B$99))-ROW($A$4)+1,ROWS(J$4:J83))),""),"")</f>
        <v/>
      </c>
      <c r="K83" t="str">
        <f>IFERROR(IF(AND(ROWS(K$4:K83)&lt;=K$1,K$1&lt;&gt;""),INDEX($A$4:$A$99,_xlfn.AGGREGATE(15,3,($B$4:$B$99=K$3)/($B$4:$B$99=K$3)*(ROW($B$4:$B$99))-ROW($A$4)+1,ROWS(K$4:K83))),""),"")</f>
        <v/>
      </c>
      <c r="L83" t="str">
        <f>IFERROR(IF(AND(ROWS(L$4:L83)&lt;=L$1,L$1&lt;&gt;""),INDEX($A$4:$A$99,_xlfn.AGGREGATE(15,3,($B$4:$B$99=L$3)/($B$4:$B$99=L$3)*(ROW($B$4:$B$99))-ROW($A$4)+1,ROWS(L$4:L83))),""),"")</f>
        <v/>
      </c>
    </row>
    <row r="84" spans="1:12" x14ac:dyDescent="0.2">
      <c r="A84" t="str">
        <f>combined!Q11</f>
        <v>11A-81</v>
      </c>
      <c r="B84" t="str">
        <f>combined!R11</f>
        <v/>
      </c>
      <c r="D84" t="str">
        <f>IFERROR(IF(AND(ROWS(D$4:D84)&lt;=D$1,D$1&lt;&gt;""),INDEX($A$4:$A$99,_xlfn.AGGREGATE(15,3,($B$4:$B$99=D$3)/($B$4:$B$99=D$3)*(ROW($B$4:$B$99))-ROW($A$4)+1,ROWS(D$4:D84))),""),"")</f>
        <v/>
      </c>
      <c r="E84" t="str">
        <f>IFERROR(IF(AND(ROWS(E$4:E84)&lt;=E$1,E$1&lt;&gt;""),INDEX($A$4:$A$99,_xlfn.AGGREGATE(15,3,($B$4:$B$99=E$3)/($B$4:$B$99=E$3)*(ROW($B$4:$B$99))-ROW($A$4)+1,ROWS(E$4:E84))),""),"")</f>
        <v/>
      </c>
      <c r="F84" t="str">
        <f>IFERROR(IF(AND(ROWS(F$4:F84)&lt;=F$1,F$1&lt;&gt;""),INDEX($A$4:$A$99,_xlfn.AGGREGATE(15,3,($B$4:$B$99=F$3)/($B$4:$B$99=F$3)*(ROW($B$4:$B$99))-ROW($A$4)+1,ROWS(F$4:F84))),""),"")</f>
        <v/>
      </c>
      <c r="G84" t="str">
        <f>IFERROR(IF(AND(ROWS(G$4:G84)&lt;=G$1,G$1&lt;&gt;""),INDEX($A$4:$A$99,_xlfn.AGGREGATE(15,3,($B$4:$B$99=G$3)/($B$4:$B$99=G$3)*(ROW($B$4:$B$99))-ROW($A$4)+1,ROWS(G$4:G84))),""),"")</f>
        <v/>
      </c>
      <c r="H84" t="str">
        <f>IFERROR(IF(AND(ROWS(H$4:H84)&lt;=H$1,H$1&lt;&gt;""),INDEX($A$4:$A$99,_xlfn.AGGREGATE(15,3,($B$4:$B$99=H$3)/($B$4:$B$99=H$3)*(ROW($B$4:$B$99))-ROW($A$4)+1,ROWS(H$4:H84))),""),"")</f>
        <v/>
      </c>
      <c r="I84" t="str">
        <f>IFERROR(IF(AND(ROWS(I$4:I84)&lt;=I$1,I$1&lt;&gt;""),INDEX($A$4:$A$99,_xlfn.AGGREGATE(15,3,($B$4:$B$99=I$3)/($B$4:$B$99=I$3)*(ROW($B$4:$B$99))-ROW($A$4)+1,ROWS(I$4:I84))),""),"")</f>
        <v/>
      </c>
      <c r="J84" t="str">
        <f>IFERROR(IF(AND(ROWS(J$4:J84)&lt;=J$1,J$1&lt;&gt;""),INDEX($A$4:$A$99,_xlfn.AGGREGATE(15,3,($B$4:$B$99=J$3)/($B$4:$B$99=J$3)*(ROW($B$4:$B$99))-ROW($A$4)+1,ROWS(J$4:J84))),""),"")</f>
        <v/>
      </c>
      <c r="K84" t="str">
        <f>IFERROR(IF(AND(ROWS(K$4:K84)&lt;=K$1,K$1&lt;&gt;""),INDEX($A$4:$A$99,_xlfn.AGGREGATE(15,3,($B$4:$B$99=K$3)/($B$4:$B$99=K$3)*(ROW($B$4:$B$99))-ROW($A$4)+1,ROWS(K$4:K84))),""),"")</f>
        <v/>
      </c>
      <c r="L84" t="str">
        <f>IFERROR(IF(AND(ROWS(L$4:L84)&lt;=L$1,L$1&lt;&gt;""),INDEX($A$4:$A$99,_xlfn.AGGREGATE(15,3,($B$4:$B$99=L$3)/($B$4:$B$99=L$3)*(ROW($B$4:$B$99))-ROW($A$4)+1,ROWS(L$4:L84))),""),"")</f>
        <v/>
      </c>
    </row>
    <row r="85" spans="1:12" x14ac:dyDescent="0.2">
      <c r="A85" t="str">
        <f>combined!Q12</f>
        <v>11B-82</v>
      </c>
      <c r="B85" t="str">
        <f>combined!R12</f>
        <v/>
      </c>
      <c r="D85" t="str">
        <f>IFERROR(IF(AND(ROWS(D$4:D85)&lt;=D$1,D$1&lt;&gt;""),INDEX($A$4:$A$99,_xlfn.AGGREGATE(15,3,($B$4:$B$99=D$3)/($B$4:$B$99=D$3)*(ROW($B$4:$B$99))-ROW($A$4)+1,ROWS(D$4:D85))),""),"")</f>
        <v/>
      </c>
      <c r="E85" t="str">
        <f>IFERROR(IF(AND(ROWS(E$4:E85)&lt;=E$1,E$1&lt;&gt;""),INDEX($A$4:$A$99,_xlfn.AGGREGATE(15,3,($B$4:$B$99=E$3)/($B$4:$B$99=E$3)*(ROW($B$4:$B$99))-ROW($A$4)+1,ROWS(E$4:E85))),""),"")</f>
        <v/>
      </c>
      <c r="F85" t="str">
        <f>IFERROR(IF(AND(ROWS(F$4:F85)&lt;=F$1,F$1&lt;&gt;""),INDEX($A$4:$A$99,_xlfn.AGGREGATE(15,3,($B$4:$B$99=F$3)/($B$4:$B$99=F$3)*(ROW($B$4:$B$99))-ROW($A$4)+1,ROWS(F$4:F85))),""),"")</f>
        <v/>
      </c>
      <c r="G85" t="str">
        <f>IFERROR(IF(AND(ROWS(G$4:G85)&lt;=G$1,G$1&lt;&gt;""),INDEX($A$4:$A$99,_xlfn.AGGREGATE(15,3,($B$4:$B$99=G$3)/($B$4:$B$99=G$3)*(ROW($B$4:$B$99))-ROW($A$4)+1,ROWS(G$4:G85))),""),"")</f>
        <v/>
      </c>
      <c r="H85" t="str">
        <f>IFERROR(IF(AND(ROWS(H$4:H85)&lt;=H$1,H$1&lt;&gt;""),INDEX($A$4:$A$99,_xlfn.AGGREGATE(15,3,($B$4:$B$99=H$3)/($B$4:$B$99=H$3)*(ROW($B$4:$B$99))-ROW($A$4)+1,ROWS(H$4:H85))),""),"")</f>
        <v/>
      </c>
      <c r="I85" t="str">
        <f>IFERROR(IF(AND(ROWS(I$4:I85)&lt;=I$1,I$1&lt;&gt;""),INDEX($A$4:$A$99,_xlfn.AGGREGATE(15,3,($B$4:$B$99=I$3)/($B$4:$B$99=I$3)*(ROW($B$4:$B$99))-ROW($A$4)+1,ROWS(I$4:I85))),""),"")</f>
        <v/>
      </c>
      <c r="J85" t="str">
        <f>IFERROR(IF(AND(ROWS(J$4:J85)&lt;=J$1,J$1&lt;&gt;""),INDEX($A$4:$A$99,_xlfn.AGGREGATE(15,3,($B$4:$B$99=J$3)/($B$4:$B$99=J$3)*(ROW($B$4:$B$99))-ROW($A$4)+1,ROWS(J$4:J85))),""),"")</f>
        <v/>
      </c>
      <c r="K85" t="str">
        <f>IFERROR(IF(AND(ROWS(K$4:K85)&lt;=K$1,K$1&lt;&gt;""),INDEX($A$4:$A$99,_xlfn.AGGREGATE(15,3,($B$4:$B$99=K$3)/($B$4:$B$99=K$3)*(ROW($B$4:$B$99))-ROW($A$4)+1,ROWS(K$4:K85))),""),"")</f>
        <v/>
      </c>
      <c r="L85" t="str">
        <f>IFERROR(IF(AND(ROWS(L$4:L85)&lt;=L$1,L$1&lt;&gt;""),INDEX($A$4:$A$99,_xlfn.AGGREGATE(15,3,($B$4:$B$99=L$3)/($B$4:$B$99=L$3)*(ROW($B$4:$B$99))-ROW($A$4)+1,ROWS(L$4:L85))),""),"")</f>
        <v/>
      </c>
    </row>
    <row r="86" spans="1:12" x14ac:dyDescent="0.2">
      <c r="A86" t="str">
        <f>combined!Q13</f>
        <v>11C-83</v>
      </c>
      <c r="B86" t="str">
        <f>combined!R13</f>
        <v/>
      </c>
      <c r="D86" t="str">
        <f>IFERROR(IF(AND(ROWS(D$4:D86)&lt;=D$1,D$1&lt;&gt;""),INDEX($A$4:$A$99,_xlfn.AGGREGATE(15,3,($B$4:$B$99=D$3)/($B$4:$B$99=D$3)*(ROW($B$4:$B$99))-ROW($A$4)+1,ROWS(D$4:D86))),""),"")</f>
        <v/>
      </c>
      <c r="E86" t="str">
        <f>IFERROR(IF(AND(ROWS(E$4:E86)&lt;=E$1,E$1&lt;&gt;""),INDEX($A$4:$A$99,_xlfn.AGGREGATE(15,3,($B$4:$B$99=E$3)/($B$4:$B$99=E$3)*(ROW($B$4:$B$99))-ROW($A$4)+1,ROWS(E$4:E86))),""),"")</f>
        <v/>
      </c>
      <c r="F86" t="str">
        <f>IFERROR(IF(AND(ROWS(F$4:F86)&lt;=F$1,F$1&lt;&gt;""),INDEX($A$4:$A$99,_xlfn.AGGREGATE(15,3,($B$4:$B$99=F$3)/($B$4:$B$99=F$3)*(ROW($B$4:$B$99))-ROW($A$4)+1,ROWS(F$4:F86))),""),"")</f>
        <v/>
      </c>
      <c r="G86" t="str">
        <f>IFERROR(IF(AND(ROWS(G$4:G86)&lt;=G$1,G$1&lt;&gt;""),INDEX($A$4:$A$99,_xlfn.AGGREGATE(15,3,($B$4:$B$99=G$3)/($B$4:$B$99=G$3)*(ROW($B$4:$B$99))-ROW($A$4)+1,ROWS(G$4:G86))),""),"")</f>
        <v/>
      </c>
      <c r="H86" t="str">
        <f>IFERROR(IF(AND(ROWS(H$4:H86)&lt;=H$1,H$1&lt;&gt;""),INDEX($A$4:$A$99,_xlfn.AGGREGATE(15,3,($B$4:$B$99=H$3)/($B$4:$B$99=H$3)*(ROW($B$4:$B$99))-ROW($A$4)+1,ROWS(H$4:H86))),""),"")</f>
        <v/>
      </c>
      <c r="I86" t="str">
        <f>IFERROR(IF(AND(ROWS(I$4:I86)&lt;=I$1,I$1&lt;&gt;""),INDEX($A$4:$A$99,_xlfn.AGGREGATE(15,3,($B$4:$B$99=I$3)/($B$4:$B$99=I$3)*(ROW($B$4:$B$99))-ROW($A$4)+1,ROWS(I$4:I86))),""),"")</f>
        <v/>
      </c>
      <c r="J86" t="str">
        <f>IFERROR(IF(AND(ROWS(J$4:J86)&lt;=J$1,J$1&lt;&gt;""),INDEX($A$4:$A$99,_xlfn.AGGREGATE(15,3,($B$4:$B$99=J$3)/($B$4:$B$99=J$3)*(ROW($B$4:$B$99))-ROW($A$4)+1,ROWS(J$4:J86))),""),"")</f>
        <v/>
      </c>
      <c r="K86" t="str">
        <f>IFERROR(IF(AND(ROWS(K$4:K86)&lt;=K$1,K$1&lt;&gt;""),INDEX($A$4:$A$99,_xlfn.AGGREGATE(15,3,($B$4:$B$99=K$3)/($B$4:$B$99=K$3)*(ROW($B$4:$B$99))-ROW($A$4)+1,ROWS(K$4:K86))),""),"")</f>
        <v/>
      </c>
      <c r="L86" t="str">
        <f>IFERROR(IF(AND(ROWS(L$4:L86)&lt;=L$1,L$1&lt;&gt;""),INDEX($A$4:$A$99,_xlfn.AGGREGATE(15,3,($B$4:$B$99=L$3)/($B$4:$B$99=L$3)*(ROW($B$4:$B$99))-ROW($A$4)+1,ROWS(L$4:L86))),""),"")</f>
        <v/>
      </c>
    </row>
    <row r="87" spans="1:12" x14ac:dyDescent="0.2">
      <c r="A87" t="str">
        <f>combined!Q14</f>
        <v>11D-84</v>
      </c>
      <c r="B87" t="str">
        <f>combined!R14</f>
        <v/>
      </c>
      <c r="D87" t="str">
        <f>IFERROR(IF(AND(ROWS(D$4:D87)&lt;=D$1,D$1&lt;&gt;""),INDEX($A$4:$A$99,_xlfn.AGGREGATE(15,3,($B$4:$B$99=D$3)/($B$4:$B$99=D$3)*(ROW($B$4:$B$99))-ROW($A$4)+1,ROWS(D$4:D87))),""),"")</f>
        <v/>
      </c>
      <c r="E87" t="str">
        <f>IFERROR(IF(AND(ROWS(E$4:E87)&lt;=E$1,E$1&lt;&gt;""),INDEX($A$4:$A$99,_xlfn.AGGREGATE(15,3,($B$4:$B$99=E$3)/($B$4:$B$99=E$3)*(ROW($B$4:$B$99))-ROW($A$4)+1,ROWS(E$4:E87))),""),"")</f>
        <v/>
      </c>
      <c r="F87" t="str">
        <f>IFERROR(IF(AND(ROWS(F$4:F87)&lt;=F$1,F$1&lt;&gt;""),INDEX($A$4:$A$99,_xlfn.AGGREGATE(15,3,($B$4:$B$99=F$3)/($B$4:$B$99=F$3)*(ROW($B$4:$B$99))-ROW($A$4)+1,ROWS(F$4:F87))),""),"")</f>
        <v/>
      </c>
      <c r="G87" t="str">
        <f>IFERROR(IF(AND(ROWS(G$4:G87)&lt;=G$1,G$1&lt;&gt;""),INDEX($A$4:$A$99,_xlfn.AGGREGATE(15,3,($B$4:$B$99=G$3)/($B$4:$B$99=G$3)*(ROW($B$4:$B$99))-ROW($A$4)+1,ROWS(G$4:G87))),""),"")</f>
        <v/>
      </c>
      <c r="H87" t="str">
        <f>IFERROR(IF(AND(ROWS(H$4:H87)&lt;=H$1,H$1&lt;&gt;""),INDEX($A$4:$A$99,_xlfn.AGGREGATE(15,3,($B$4:$B$99=H$3)/($B$4:$B$99=H$3)*(ROW($B$4:$B$99))-ROW($A$4)+1,ROWS(H$4:H87))),""),"")</f>
        <v/>
      </c>
      <c r="I87" t="str">
        <f>IFERROR(IF(AND(ROWS(I$4:I87)&lt;=I$1,I$1&lt;&gt;""),INDEX($A$4:$A$99,_xlfn.AGGREGATE(15,3,($B$4:$B$99=I$3)/($B$4:$B$99=I$3)*(ROW($B$4:$B$99))-ROW($A$4)+1,ROWS(I$4:I87))),""),"")</f>
        <v/>
      </c>
      <c r="J87" t="str">
        <f>IFERROR(IF(AND(ROWS(J$4:J87)&lt;=J$1,J$1&lt;&gt;""),INDEX($A$4:$A$99,_xlfn.AGGREGATE(15,3,($B$4:$B$99=J$3)/($B$4:$B$99=J$3)*(ROW($B$4:$B$99))-ROW($A$4)+1,ROWS(J$4:J87))),""),"")</f>
        <v/>
      </c>
      <c r="K87" t="str">
        <f>IFERROR(IF(AND(ROWS(K$4:K87)&lt;=K$1,K$1&lt;&gt;""),INDEX($A$4:$A$99,_xlfn.AGGREGATE(15,3,($B$4:$B$99=K$3)/($B$4:$B$99=K$3)*(ROW($B$4:$B$99))-ROW($A$4)+1,ROWS(K$4:K87))),""),"")</f>
        <v/>
      </c>
      <c r="L87" t="str">
        <f>IFERROR(IF(AND(ROWS(L$4:L87)&lt;=L$1,L$1&lt;&gt;""),INDEX($A$4:$A$99,_xlfn.AGGREGATE(15,3,($B$4:$B$99=L$3)/($B$4:$B$99=L$3)*(ROW($B$4:$B$99))-ROW($A$4)+1,ROWS(L$4:L87))),""),"")</f>
        <v/>
      </c>
    </row>
    <row r="88" spans="1:12" x14ac:dyDescent="0.2">
      <c r="A88" t="str">
        <f>combined!Q15</f>
        <v>11E-85</v>
      </c>
      <c r="B88" t="str">
        <f>combined!R15</f>
        <v/>
      </c>
      <c r="D88" t="str">
        <f>IFERROR(IF(AND(ROWS(D$4:D88)&lt;=D$1,D$1&lt;&gt;""),INDEX($A$4:$A$99,_xlfn.AGGREGATE(15,3,($B$4:$B$99=D$3)/($B$4:$B$99=D$3)*(ROW($B$4:$B$99))-ROW($A$4)+1,ROWS(D$4:D88))),""),"")</f>
        <v/>
      </c>
      <c r="E88" t="str">
        <f>IFERROR(IF(AND(ROWS(E$4:E88)&lt;=E$1,E$1&lt;&gt;""),INDEX($A$4:$A$99,_xlfn.AGGREGATE(15,3,($B$4:$B$99=E$3)/($B$4:$B$99=E$3)*(ROW($B$4:$B$99))-ROW($A$4)+1,ROWS(E$4:E88))),""),"")</f>
        <v/>
      </c>
      <c r="F88" t="str">
        <f>IFERROR(IF(AND(ROWS(F$4:F88)&lt;=F$1,F$1&lt;&gt;""),INDEX($A$4:$A$99,_xlfn.AGGREGATE(15,3,($B$4:$B$99=F$3)/($B$4:$B$99=F$3)*(ROW($B$4:$B$99))-ROW($A$4)+1,ROWS(F$4:F88))),""),"")</f>
        <v/>
      </c>
      <c r="G88" t="str">
        <f>IFERROR(IF(AND(ROWS(G$4:G88)&lt;=G$1,G$1&lt;&gt;""),INDEX($A$4:$A$99,_xlfn.AGGREGATE(15,3,($B$4:$B$99=G$3)/($B$4:$B$99=G$3)*(ROW($B$4:$B$99))-ROW($A$4)+1,ROWS(G$4:G88))),""),"")</f>
        <v/>
      </c>
      <c r="H88" t="str">
        <f>IFERROR(IF(AND(ROWS(H$4:H88)&lt;=H$1,H$1&lt;&gt;""),INDEX($A$4:$A$99,_xlfn.AGGREGATE(15,3,($B$4:$B$99=H$3)/($B$4:$B$99=H$3)*(ROW($B$4:$B$99))-ROW($A$4)+1,ROWS(H$4:H88))),""),"")</f>
        <v/>
      </c>
      <c r="I88" t="str">
        <f>IFERROR(IF(AND(ROWS(I$4:I88)&lt;=I$1,I$1&lt;&gt;""),INDEX($A$4:$A$99,_xlfn.AGGREGATE(15,3,($B$4:$B$99=I$3)/($B$4:$B$99=I$3)*(ROW($B$4:$B$99))-ROW($A$4)+1,ROWS(I$4:I88))),""),"")</f>
        <v/>
      </c>
      <c r="J88" t="str">
        <f>IFERROR(IF(AND(ROWS(J$4:J88)&lt;=J$1,J$1&lt;&gt;""),INDEX($A$4:$A$99,_xlfn.AGGREGATE(15,3,($B$4:$B$99=J$3)/($B$4:$B$99=J$3)*(ROW($B$4:$B$99))-ROW($A$4)+1,ROWS(J$4:J88))),""),"")</f>
        <v/>
      </c>
      <c r="K88" t="str">
        <f>IFERROR(IF(AND(ROWS(K$4:K88)&lt;=K$1,K$1&lt;&gt;""),INDEX($A$4:$A$99,_xlfn.AGGREGATE(15,3,($B$4:$B$99=K$3)/($B$4:$B$99=K$3)*(ROW($B$4:$B$99))-ROW($A$4)+1,ROWS(K$4:K88))),""),"")</f>
        <v/>
      </c>
      <c r="L88" t="str">
        <f>IFERROR(IF(AND(ROWS(L$4:L88)&lt;=L$1,L$1&lt;&gt;""),INDEX($A$4:$A$99,_xlfn.AGGREGATE(15,3,($B$4:$B$99=L$3)/($B$4:$B$99=L$3)*(ROW($B$4:$B$99))-ROW($A$4)+1,ROWS(L$4:L88))),""),"")</f>
        <v/>
      </c>
    </row>
    <row r="89" spans="1:12" x14ac:dyDescent="0.2">
      <c r="A89" t="str">
        <f>combined!Q16</f>
        <v>11F-86</v>
      </c>
      <c r="B89" t="str">
        <f>combined!R16</f>
        <v/>
      </c>
      <c r="D89" t="str">
        <f>IFERROR(IF(AND(ROWS(D$4:D89)&lt;=D$1,D$1&lt;&gt;""),INDEX($A$4:$A$99,_xlfn.AGGREGATE(15,3,($B$4:$B$99=D$3)/($B$4:$B$99=D$3)*(ROW($B$4:$B$99))-ROW($A$4)+1,ROWS(D$4:D89))),""),"")</f>
        <v/>
      </c>
      <c r="E89" t="str">
        <f>IFERROR(IF(AND(ROWS(E$4:E89)&lt;=E$1,E$1&lt;&gt;""),INDEX($A$4:$A$99,_xlfn.AGGREGATE(15,3,($B$4:$B$99=E$3)/($B$4:$B$99=E$3)*(ROW($B$4:$B$99))-ROW($A$4)+1,ROWS(E$4:E89))),""),"")</f>
        <v/>
      </c>
      <c r="F89" t="str">
        <f>IFERROR(IF(AND(ROWS(F$4:F89)&lt;=F$1,F$1&lt;&gt;""),INDEX($A$4:$A$99,_xlfn.AGGREGATE(15,3,($B$4:$B$99=F$3)/($B$4:$B$99=F$3)*(ROW($B$4:$B$99))-ROW($A$4)+1,ROWS(F$4:F89))),""),"")</f>
        <v/>
      </c>
      <c r="G89" t="str">
        <f>IFERROR(IF(AND(ROWS(G$4:G89)&lt;=G$1,G$1&lt;&gt;""),INDEX($A$4:$A$99,_xlfn.AGGREGATE(15,3,($B$4:$B$99=G$3)/($B$4:$B$99=G$3)*(ROW($B$4:$B$99))-ROW($A$4)+1,ROWS(G$4:G89))),""),"")</f>
        <v/>
      </c>
      <c r="H89" t="str">
        <f>IFERROR(IF(AND(ROWS(H$4:H89)&lt;=H$1,H$1&lt;&gt;""),INDEX($A$4:$A$99,_xlfn.AGGREGATE(15,3,($B$4:$B$99=H$3)/($B$4:$B$99=H$3)*(ROW($B$4:$B$99))-ROW($A$4)+1,ROWS(H$4:H89))),""),"")</f>
        <v/>
      </c>
      <c r="I89" t="str">
        <f>IFERROR(IF(AND(ROWS(I$4:I89)&lt;=I$1,I$1&lt;&gt;""),INDEX($A$4:$A$99,_xlfn.AGGREGATE(15,3,($B$4:$B$99=I$3)/($B$4:$B$99=I$3)*(ROW($B$4:$B$99))-ROW($A$4)+1,ROWS(I$4:I89))),""),"")</f>
        <v/>
      </c>
      <c r="J89" t="str">
        <f>IFERROR(IF(AND(ROWS(J$4:J89)&lt;=J$1,J$1&lt;&gt;""),INDEX($A$4:$A$99,_xlfn.AGGREGATE(15,3,($B$4:$B$99=J$3)/($B$4:$B$99=J$3)*(ROW($B$4:$B$99))-ROW($A$4)+1,ROWS(J$4:J89))),""),"")</f>
        <v/>
      </c>
      <c r="K89" t="str">
        <f>IFERROR(IF(AND(ROWS(K$4:K89)&lt;=K$1,K$1&lt;&gt;""),INDEX($A$4:$A$99,_xlfn.AGGREGATE(15,3,($B$4:$B$99=K$3)/($B$4:$B$99=K$3)*(ROW($B$4:$B$99))-ROW($A$4)+1,ROWS(K$4:K89))),""),"")</f>
        <v/>
      </c>
      <c r="L89" t="str">
        <f>IFERROR(IF(AND(ROWS(L$4:L89)&lt;=L$1,L$1&lt;&gt;""),INDEX($A$4:$A$99,_xlfn.AGGREGATE(15,3,($B$4:$B$99=L$3)/($B$4:$B$99=L$3)*(ROW($B$4:$B$99))-ROW($A$4)+1,ROWS(L$4:L89))),""),"")</f>
        <v/>
      </c>
    </row>
    <row r="90" spans="1:12" x14ac:dyDescent="0.2">
      <c r="A90" t="str">
        <f>combined!Q17</f>
        <v>11G-87</v>
      </c>
      <c r="B90" t="str">
        <f>combined!R17</f>
        <v/>
      </c>
      <c r="D90" t="str">
        <f>IFERROR(IF(AND(ROWS(D$4:D90)&lt;=D$1,D$1&lt;&gt;""),INDEX($A$4:$A$99,_xlfn.AGGREGATE(15,3,($B$4:$B$99=D$3)/($B$4:$B$99=D$3)*(ROW($B$4:$B$99))-ROW($A$4)+1,ROWS(D$4:D90))),""),"")</f>
        <v/>
      </c>
      <c r="E90" t="str">
        <f>IFERROR(IF(AND(ROWS(E$4:E90)&lt;=E$1,E$1&lt;&gt;""),INDEX($A$4:$A$99,_xlfn.AGGREGATE(15,3,($B$4:$B$99=E$3)/($B$4:$B$99=E$3)*(ROW($B$4:$B$99))-ROW($A$4)+1,ROWS(E$4:E90))),""),"")</f>
        <v/>
      </c>
      <c r="F90" t="str">
        <f>IFERROR(IF(AND(ROWS(F$4:F90)&lt;=F$1,F$1&lt;&gt;""),INDEX($A$4:$A$99,_xlfn.AGGREGATE(15,3,($B$4:$B$99=F$3)/($B$4:$B$99=F$3)*(ROW($B$4:$B$99))-ROW($A$4)+1,ROWS(F$4:F90))),""),"")</f>
        <v/>
      </c>
      <c r="G90" t="str">
        <f>IFERROR(IF(AND(ROWS(G$4:G90)&lt;=G$1,G$1&lt;&gt;""),INDEX($A$4:$A$99,_xlfn.AGGREGATE(15,3,($B$4:$B$99=G$3)/($B$4:$B$99=G$3)*(ROW($B$4:$B$99))-ROW($A$4)+1,ROWS(G$4:G90))),""),"")</f>
        <v/>
      </c>
      <c r="H90" t="str">
        <f>IFERROR(IF(AND(ROWS(H$4:H90)&lt;=H$1,H$1&lt;&gt;""),INDEX($A$4:$A$99,_xlfn.AGGREGATE(15,3,($B$4:$B$99=H$3)/($B$4:$B$99=H$3)*(ROW($B$4:$B$99))-ROW($A$4)+1,ROWS(H$4:H90))),""),"")</f>
        <v/>
      </c>
      <c r="I90" t="str">
        <f>IFERROR(IF(AND(ROWS(I$4:I90)&lt;=I$1,I$1&lt;&gt;""),INDEX($A$4:$A$99,_xlfn.AGGREGATE(15,3,($B$4:$B$99=I$3)/($B$4:$B$99=I$3)*(ROW($B$4:$B$99))-ROW($A$4)+1,ROWS(I$4:I90))),""),"")</f>
        <v/>
      </c>
      <c r="J90" t="str">
        <f>IFERROR(IF(AND(ROWS(J$4:J90)&lt;=J$1,J$1&lt;&gt;""),INDEX($A$4:$A$99,_xlfn.AGGREGATE(15,3,($B$4:$B$99=J$3)/($B$4:$B$99=J$3)*(ROW($B$4:$B$99))-ROW($A$4)+1,ROWS(J$4:J90))),""),"")</f>
        <v/>
      </c>
      <c r="K90" t="str">
        <f>IFERROR(IF(AND(ROWS(K$4:K90)&lt;=K$1,K$1&lt;&gt;""),INDEX($A$4:$A$99,_xlfn.AGGREGATE(15,3,($B$4:$B$99=K$3)/($B$4:$B$99=K$3)*(ROW($B$4:$B$99))-ROW($A$4)+1,ROWS(K$4:K90))),""),"")</f>
        <v/>
      </c>
      <c r="L90" t="str">
        <f>IFERROR(IF(AND(ROWS(L$4:L90)&lt;=L$1,L$1&lt;&gt;""),INDEX($A$4:$A$99,_xlfn.AGGREGATE(15,3,($B$4:$B$99=L$3)/($B$4:$B$99=L$3)*(ROW($B$4:$B$99))-ROW($A$4)+1,ROWS(L$4:L90))),""),"")</f>
        <v/>
      </c>
    </row>
    <row r="91" spans="1:12" x14ac:dyDescent="0.2">
      <c r="A91" t="str">
        <f>combined!Q18</f>
        <v>11H-88</v>
      </c>
      <c r="B91" t="str">
        <f>combined!R18</f>
        <v/>
      </c>
      <c r="D91" t="str">
        <f>IFERROR(IF(AND(ROWS(D$4:D91)&lt;=D$1,D$1&lt;&gt;""),INDEX($A$4:$A$99,_xlfn.AGGREGATE(15,3,($B$4:$B$99=D$3)/($B$4:$B$99=D$3)*(ROW($B$4:$B$99))-ROW($A$4)+1,ROWS(D$4:D91))),""),"")</f>
        <v/>
      </c>
      <c r="E91" t="str">
        <f>IFERROR(IF(AND(ROWS(E$4:E91)&lt;=E$1,E$1&lt;&gt;""),INDEX($A$4:$A$99,_xlfn.AGGREGATE(15,3,($B$4:$B$99=E$3)/($B$4:$B$99=E$3)*(ROW($B$4:$B$99))-ROW($A$4)+1,ROWS(E$4:E91))),""),"")</f>
        <v/>
      </c>
      <c r="F91" t="str">
        <f>IFERROR(IF(AND(ROWS(F$4:F91)&lt;=F$1,F$1&lt;&gt;""),INDEX($A$4:$A$99,_xlfn.AGGREGATE(15,3,($B$4:$B$99=F$3)/($B$4:$B$99=F$3)*(ROW($B$4:$B$99))-ROW($A$4)+1,ROWS(F$4:F91))),""),"")</f>
        <v/>
      </c>
      <c r="G91" t="str">
        <f>IFERROR(IF(AND(ROWS(G$4:G91)&lt;=G$1,G$1&lt;&gt;""),INDEX($A$4:$A$99,_xlfn.AGGREGATE(15,3,($B$4:$B$99=G$3)/($B$4:$B$99=G$3)*(ROW($B$4:$B$99))-ROW($A$4)+1,ROWS(G$4:G91))),""),"")</f>
        <v/>
      </c>
      <c r="H91" t="str">
        <f>IFERROR(IF(AND(ROWS(H$4:H91)&lt;=H$1,H$1&lt;&gt;""),INDEX($A$4:$A$99,_xlfn.AGGREGATE(15,3,($B$4:$B$99=H$3)/($B$4:$B$99=H$3)*(ROW($B$4:$B$99))-ROW($A$4)+1,ROWS(H$4:H91))),""),"")</f>
        <v/>
      </c>
      <c r="I91" t="str">
        <f>IFERROR(IF(AND(ROWS(I$4:I91)&lt;=I$1,I$1&lt;&gt;""),INDEX($A$4:$A$99,_xlfn.AGGREGATE(15,3,($B$4:$B$99=I$3)/($B$4:$B$99=I$3)*(ROW($B$4:$B$99))-ROW($A$4)+1,ROWS(I$4:I91))),""),"")</f>
        <v/>
      </c>
      <c r="J91" t="str">
        <f>IFERROR(IF(AND(ROWS(J$4:J91)&lt;=J$1,J$1&lt;&gt;""),INDEX($A$4:$A$99,_xlfn.AGGREGATE(15,3,($B$4:$B$99=J$3)/($B$4:$B$99=J$3)*(ROW($B$4:$B$99))-ROW($A$4)+1,ROWS(J$4:J91))),""),"")</f>
        <v/>
      </c>
      <c r="K91" t="str">
        <f>IFERROR(IF(AND(ROWS(K$4:K91)&lt;=K$1,K$1&lt;&gt;""),INDEX($A$4:$A$99,_xlfn.AGGREGATE(15,3,($B$4:$B$99=K$3)/($B$4:$B$99=K$3)*(ROW($B$4:$B$99))-ROW($A$4)+1,ROWS(K$4:K91))),""),"")</f>
        <v/>
      </c>
      <c r="L91" t="str">
        <f>IFERROR(IF(AND(ROWS(L$4:L91)&lt;=L$1,L$1&lt;&gt;""),INDEX($A$4:$A$99,_xlfn.AGGREGATE(15,3,($B$4:$B$99=L$3)/($B$4:$B$99=L$3)*(ROW($B$4:$B$99))-ROW($A$4)+1,ROWS(L$4:L91))),""),"")</f>
        <v/>
      </c>
    </row>
    <row r="92" spans="1:12" x14ac:dyDescent="0.2">
      <c r="A92" t="str">
        <f>combined!Q19</f>
        <v>12A-89</v>
      </c>
      <c r="B92" t="str">
        <f>combined!R19</f>
        <v/>
      </c>
      <c r="D92" t="str">
        <f>IFERROR(IF(AND(ROWS(D$4:D92)&lt;=D$1,D$1&lt;&gt;""),INDEX($A$4:$A$99,_xlfn.AGGREGATE(15,3,($B$4:$B$99=D$3)/($B$4:$B$99=D$3)*(ROW($B$4:$B$99))-ROW($A$4)+1,ROWS(D$4:D92))),""),"")</f>
        <v/>
      </c>
      <c r="E92" t="str">
        <f>IFERROR(IF(AND(ROWS(E$4:E92)&lt;=E$1,E$1&lt;&gt;""),INDEX($A$4:$A$99,_xlfn.AGGREGATE(15,3,($B$4:$B$99=E$3)/($B$4:$B$99=E$3)*(ROW($B$4:$B$99))-ROW($A$4)+1,ROWS(E$4:E92))),""),"")</f>
        <v/>
      </c>
      <c r="F92" t="str">
        <f>IFERROR(IF(AND(ROWS(F$4:F92)&lt;=F$1,F$1&lt;&gt;""),INDEX($A$4:$A$99,_xlfn.AGGREGATE(15,3,($B$4:$B$99=F$3)/($B$4:$B$99=F$3)*(ROW($B$4:$B$99))-ROW($A$4)+1,ROWS(F$4:F92))),""),"")</f>
        <v/>
      </c>
      <c r="G92" t="str">
        <f>IFERROR(IF(AND(ROWS(G$4:G92)&lt;=G$1,G$1&lt;&gt;""),INDEX($A$4:$A$99,_xlfn.AGGREGATE(15,3,($B$4:$B$99=G$3)/($B$4:$B$99=G$3)*(ROW($B$4:$B$99))-ROW($A$4)+1,ROWS(G$4:G92))),""),"")</f>
        <v/>
      </c>
      <c r="H92" t="str">
        <f>IFERROR(IF(AND(ROWS(H$4:H92)&lt;=H$1,H$1&lt;&gt;""),INDEX($A$4:$A$99,_xlfn.AGGREGATE(15,3,($B$4:$B$99=H$3)/($B$4:$B$99=H$3)*(ROW($B$4:$B$99))-ROW($A$4)+1,ROWS(H$4:H92))),""),"")</f>
        <v/>
      </c>
      <c r="I92" t="str">
        <f>IFERROR(IF(AND(ROWS(I$4:I92)&lt;=I$1,I$1&lt;&gt;""),INDEX($A$4:$A$99,_xlfn.AGGREGATE(15,3,($B$4:$B$99=I$3)/($B$4:$B$99=I$3)*(ROW($B$4:$B$99))-ROW($A$4)+1,ROWS(I$4:I92))),""),"")</f>
        <v/>
      </c>
      <c r="J92" t="str">
        <f>IFERROR(IF(AND(ROWS(J$4:J92)&lt;=J$1,J$1&lt;&gt;""),INDEX($A$4:$A$99,_xlfn.AGGREGATE(15,3,($B$4:$B$99=J$3)/($B$4:$B$99=J$3)*(ROW($B$4:$B$99))-ROW($A$4)+1,ROWS(J$4:J92))),""),"")</f>
        <v/>
      </c>
      <c r="K92" t="str">
        <f>IFERROR(IF(AND(ROWS(K$4:K92)&lt;=K$1,K$1&lt;&gt;""),INDEX($A$4:$A$99,_xlfn.AGGREGATE(15,3,($B$4:$B$99=K$3)/($B$4:$B$99=K$3)*(ROW($B$4:$B$99))-ROW($A$4)+1,ROWS(K$4:K92))),""),"")</f>
        <v/>
      </c>
      <c r="L92" t="str">
        <f>IFERROR(IF(AND(ROWS(L$4:L92)&lt;=L$1,L$1&lt;&gt;""),INDEX($A$4:$A$99,_xlfn.AGGREGATE(15,3,($B$4:$B$99=L$3)/($B$4:$B$99=L$3)*(ROW($B$4:$B$99))-ROW($A$4)+1,ROWS(L$4:L92))),""),"")</f>
        <v/>
      </c>
    </row>
    <row r="93" spans="1:12" x14ac:dyDescent="0.2">
      <c r="A93" t="str">
        <f>combined!Q20</f>
        <v>12B-90</v>
      </c>
      <c r="B93" t="str">
        <f>combined!R20</f>
        <v/>
      </c>
      <c r="D93" t="str">
        <f>IFERROR(IF(AND(ROWS(D$4:D93)&lt;=D$1,D$1&lt;&gt;""),INDEX($A$4:$A$99,_xlfn.AGGREGATE(15,3,($B$4:$B$99=D$3)/($B$4:$B$99=D$3)*(ROW($B$4:$B$99))-ROW($A$4)+1,ROWS(D$4:D93))),""),"")</f>
        <v/>
      </c>
      <c r="E93" t="str">
        <f>IFERROR(IF(AND(ROWS(E$4:E93)&lt;=E$1,E$1&lt;&gt;""),INDEX($A$4:$A$99,_xlfn.AGGREGATE(15,3,($B$4:$B$99=E$3)/($B$4:$B$99=E$3)*(ROW($B$4:$B$99))-ROW($A$4)+1,ROWS(E$4:E93))),""),"")</f>
        <v/>
      </c>
      <c r="F93" t="str">
        <f>IFERROR(IF(AND(ROWS(F$4:F93)&lt;=F$1,F$1&lt;&gt;""),INDEX($A$4:$A$99,_xlfn.AGGREGATE(15,3,($B$4:$B$99=F$3)/($B$4:$B$99=F$3)*(ROW($B$4:$B$99))-ROW($A$4)+1,ROWS(F$4:F93))),""),"")</f>
        <v/>
      </c>
      <c r="G93" t="str">
        <f>IFERROR(IF(AND(ROWS(G$4:G93)&lt;=G$1,G$1&lt;&gt;""),INDEX($A$4:$A$99,_xlfn.AGGREGATE(15,3,($B$4:$B$99=G$3)/($B$4:$B$99=G$3)*(ROW($B$4:$B$99))-ROW($A$4)+1,ROWS(G$4:G93))),""),"")</f>
        <v/>
      </c>
      <c r="H93" t="str">
        <f>IFERROR(IF(AND(ROWS(H$4:H93)&lt;=H$1,H$1&lt;&gt;""),INDEX($A$4:$A$99,_xlfn.AGGREGATE(15,3,($B$4:$B$99=H$3)/($B$4:$B$99=H$3)*(ROW($B$4:$B$99))-ROW($A$4)+1,ROWS(H$4:H93))),""),"")</f>
        <v/>
      </c>
      <c r="I93" t="str">
        <f>IFERROR(IF(AND(ROWS(I$4:I93)&lt;=I$1,I$1&lt;&gt;""),INDEX($A$4:$A$99,_xlfn.AGGREGATE(15,3,($B$4:$B$99=I$3)/($B$4:$B$99=I$3)*(ROW($B$4:$B$99))-ROW($A$4)+1,ROWS(I$4:I93))),""),"")</f>
        <v/>
      </c>
      <c r="J93" t="str">
        <f>IFERROR(IF(AND(ROWS(J$4:J93)&lt;=J$1,J$1&lt;&gt;""),INDEX($A$4:$A$99,_xlfn.AGGREGATE(15,3,($B$4:$B$99=J$3)/($B$4:$B$99=J$3)*(ROW($B$4:$B$99))-ROW($A$4)+1,ROWS(J$4:J93))),""),"")</f>
        <v/>
      </c>
      <c r="K93" t="str">
        <f>IFERROR(IF(AND(ROWS(K$4:K93)&lt;=K$1,K$1&lt;&gt;""),INDEX($A$4:$A$99,_xlfn.AGGREGATE(15,3,($B$4:$B$99=K$3)/($B$4:$B$99=K$3)*(ROW($B$4:$B$99))-ROW($A$4)+1,ROWS(K$4:K93))),""),"")</f>
        <v/>
      </c>
      <c r="L93" t="str">
        <f>IFERROR(IF(AND(ROWS(L$4:L93)&lt;=L$1,L$1&lt;&gt;""),INDEX($A$4:$A$99,_xlfn.AGGREGATE(15,3,($B$4:$B$99=L$3)/($B$4:$B$99=L$3)*(ROW($B$4:$B$99))-ROW($A$4)+1,ROWS(L$4:L93))),""),"")</f>
        <v/>
      </c>
    </row>
    <row r="94" spans="1:12" x14ac:dyDescent="0.2">
      <c r="A94" t="str">
        <f>combined!Q21</f>
        <v>12C-91</v>
      </c>
      <c r="B94" t="str">
        <f>combined!R21</f>
        <v/>
      </c>
      <c r="D94" t="str">
        <f>IFERROR(IF(AND(ROWS(D$4:D94)&lt;=D$1,D$1&lt;&gt;""),INDEX($A$4:$A$99,_xlfn.AGGREGATE(15,3,($B$4:$B$99=D$3)/($B$4:$B$99=D$3)*(ROW($B$4:$B$99))-ROW($A$4)+1,ROWS(D$4:D94))),""),"")</f>
        <v/>
      </c>
      <c r="E94" t="str">
        <f>IFERROR(IF(AND(ROWS(E$4:E94)&lt;=E$1,E$1&lt;&gt;""),INDEX($A$4:$A$99,_xlfn.AGGREGATE(15,3,($B$4:$B$99=E$3)/($B$4:$B$99=E$3)*(ROW($B$4:$B$99))-ROW($A$4)+1,ROWS(E$4:E94))),""),"")</f>
        <v/>
      </c>
      <c r="F94" t="str">
        <f>IFERROR(IF(AND(ROWS(F$4:F94)&lt;=F$1,F$1&lt;&gt;""),INDEX($A$4:$A$99,_xlfn.AGGREGATE(15,3,($B$4:$B$99=F$3)/($B$4:$B$99=F$3)*(ROW($B$4:$B$99))-ROW($A$4)+1,ROWS(F$4:F94))),""),"")</f>
        <v/>
      </c>
      <c r="G94" t="str">
        <f>IFERROR(IF(AND(ROWS(G$4:G94)&lt;=G$1,G$1&lt;&gt;""),INDEX($A$4:$A$99,_xlfn.AGGREGATE(15,3,($B$4:$B$99=G$3)/($B$4:$B$99=G$3)*(ROW($B$4:$B$99))-ROW($A$4)+1,ROWS(G$4:G94))),""),"")</f>
        <v/>
      </c>
      <c r="H94" t="str">
        <f>IFERROR(IF(AND(ROWS(H$4:H94)&lt;=H$1,H$1&lt;&gt;""),INDEX($A$4:$A$99,_xlfn.AGGREGATE(15,3,($B$4:$B$99=H$3)/($B$4:$B$99=H$3)*(ROW($B$4:$B$99))-ROW($A$4)+1,ROWS(H$4:H94))),""),"")</f>
        <v/>
      </c>
      <c r="I94" t="str">
        <f>IFERROR(IF(AND(ROWS(I$4:I94)&lt;=I$1,I$1&lt;&gt;""),INDEX($A$4:$A$99,_xlfn.AGGREGATE(15,3,($B$4:$B$99=I$3)/($B$4:$B$99=I$3)*(ROW($B$4:$B$99))-ROW($A$4)+1,ROWS(I$4:I94))),""),"")</f>
        <v/>
      </c>
      <c r="J94" t="str">
        <f>IFERROR(IF(AND(ROWS(J$4:J94)&lt;=J$1,J$1&lt;&gt;""),INDEX($A$4:$A$99,_xlfn.AGGREGATE(15,3,($B$4:$B$99=J$3)/($B$4:$B$99=J$3)*(ROW($B$4:$B$99))-ROW($A$4)+1,ROWS(J$4:J94))),""),"")</f>
        <v/>
      </c>
      <c r="K94" t="str">
        <f>IFERROR(IF(AND(ROWS(K$4:K94)&lt;=K$1,K$1&lt;&gt;""),INDEX($A$4:$A$99,_xlfn.AGGREGATE(15,3,($B$4:$B$99=K$3)/($B$4:$B$99=K$3)*(ROW($B$4:$B$99))-ROW($A$4)+1,ROWS(K$4:K94))),""),"")</f>
        <v/>
      </c>
      <c r="L94" t="str">
        <f>IFERROR(IF(AND(ROWS(L$4:L94)&lt;=L$1,L$1&lt;&gt;""),INDEX($A$4:$A$99,_xlfn.AGGREGATE(15,3,($B$4:$B$99=L$3)/($B$4:$B$99=L$3)*(ROW($B$4:$B$99))-ROW($A$4)+1,ROWS(L$4:L94))),""),"")</f>
        <v/>
      </c>
    </row>
    <row r="95" spans="1:12" x14ac:dyDescent="0.2">
      <c r="A95" t="str">
        <f>combined!Q22</f>
        <v>12D-92</v>
      </c>
      <c r="B95" t="str">
        <f>combined!R22</f>
        <v/>
      </c>
      <c r="D95" t="str">
        <f>IFERROR(IF(AND(ROWS(D$4:D95)&lt;=D$1,D$1&lt;&gt;""),INDEX($A$4:$A$99,_xlfn.AGGREGATE(15,3,($B$4:$B$99=D$3)/($B$4:$B$99=D$3)*(ROW($B$4:$B$99))-ROW($A$4)+1,ROWS(D$4:D95))),""),"")</f>
        <v/>
      </c>
      <c r="E95" t="str">
        <f>IFERROR(IF(AND(ROWS(E$4:E95)&lt;=E$1,E$1&lt;&gt;""),INDEX($A$4:$A$99,_xlfn.AGGREGATE(15,3,($B$4:$B$99=E$3)/($B$4:$B$99=E$3)*(ROW($B$4:$B$99))-ROW($A$4)+1,ROWS(E$4:E95))),""),"")</f>
        <v/>
      </c>
      <c r="F95" t="str">
        <f>IFERROR(IF(AND(ROWS(F$4:F95)&lt;=F$1,F$1&lt;&gt;""),INDEX($A$4:$A$99,_xlfn.AGGREGATE(15,3,($B$4:$B$99=F$3)/($B$4:$B$99=F$3)*(ROW($B$4:$B$99))-ROW($A$4)+1,ROWS(F$4:F95))),""),"")</f>
        <v/>
      </c>
      <c r="G95" t="str">
        <f>IFERROR(IF(AND(ROWS(G$4:G95)&lt;=G$1,G$1&lt;&gt;""),INDEX($A$4:$A$99,_xlfn.AGGREGATE(15,3,($B$4:$B$99=G$3)/($B$4:$B$99=G$3)*(ROW($B$4:$B$99))-ROW($A$4)+1,ROWS(G$4:G95))),""),"")</f>
        <v/>
      </c>
      <c r="H95" t="str">
        <f>IFERROR(IF(AND(ROWS(H$4:H95)&lt;=H$1,H$1&lt;&gt;""),INDEX($A$4:$A$99,_xlfn.AGGREGATE(15,3,($B$4:$B$99=H$3)/($B$4:$B$99=H$3)*(ROW($B$4:$B$99))-ROW($A$4)+1,ROWS(H$4:H95))),""),"")</f>
        <v/>
      </c>
      <c r="I95" t="str">
        <f>IFERROR(IF(AND(ROWS(I$4:I95)&lt;=I$1,I$1&lt;&gt;""),INDEX($A$4:$A$99,_xlfn.AGGREGATE(15,3,($B$4:$B$99=I$3)/($B$4:$B$99=I$3)*(ROW($B$4:$B$99))-ROW($A$4)+1,ROWS(I$4:I95))),""),"")</f>
        <v/>
      </c>
      <c r="J95" t="str">
        <f>IFERROR(IF(AND(ROWS(J$4:J95)&lt;=J$1,J$1&lt;&gt;""),INDEX($A$4:$A$99,_xlfn.AGGREGATE(15,3,($B$4:$B$99=J$3)/($B$4:$B$99=J$3)*(ROW($B$4:$B$99))-ROW($A$4)+1,ROWS(J$4:J95))),""),"")</f>
        <v/>
      </c>
      <c r="K95" t="str">
        <f>IFERROR(IF(AND(ROWS(K$4:K95)&lt;=K$1,K$1&lt;&gt;""),INDEX($A$4:$A$99,_xlfn.AGGREGATE(15,3,($B$4:$B$99=K$3)/($B$4:$B$99=K$3)*(ROW($B$4:$B$99))-ROW($A$4)+1,ROWS(K$4:K95))),""),"")</f>
        <v/>
      </c>
      <c r="L95" t="str">
        <f>IFERROR(IF(AND(ROWS(L$4:L95)&lt;=L$1,L$1&lt;&gt;""),INDEX($A$4:$A$99,_xlfn.AGGREGATE(15,3,($B$4:$B$99=L$3)/($B$4:$B$99=L$3)*(ROW($B$4:$B$99))-ROW($A$4)+1,ROWS(L$4:L95))),""),"")</f>
        <v/>
      </c>
    </row>
    <row r="96" spans="1:12" x14ac:dyDescent="0.2">
      <c r="A96" t="str">
        <f>combined!Q23</f>
        <v>12E-93</v>
      </c>
      <c r="B96" t="str">
        <f>combined!R23</f>
        <v/>
      </c>
      <c r="D96" t="str">
        <f>IFERROR(IF(AND(ROWS(D$4:D96)&lt;=D$1,D$1&lt;&gt;""),INDEX($A$4:$A$99,_xlfn.AGGREGATE(15,3,($B$4:$B$99=D$3)/($B$4:$B$99=D$3)*(ROW($B$4:$B$99))-ROW($A$4)+1,ROWS(D$4:D96))),""),"")</f>
        <v/>
      </c>
      <c r="E96" t="str">
        <f>IFERROR(IF(AND(ROWS(E$4:E96)&lt;=E$1,E$1&lt;&gt;""),INDEX($A$4:$A$99,_xlfn.AGGREGATE(15,3,($B$4:$B$99=E$3)/($B$4:$B$99=E$3)*(ROW($B$4:$B$99))-ROW($A$4)+1,ROWS(E$4:E96))),""),"")</f>
        <v/>
      </c>
      <c r="F96" t="str">
        <f>IFERROR(IF(AND(ROWS(F$4:F96)&lt;=F$1,F$1&lt;&gt;""),INDEX($A$4:$A$99,_xlfn.AGGREGATE(15,3,($B$4:$B$99=F$3)/($B$4:$B$99=F$3)*(ROW($B$4:$B$99))-ROW($A$4)+1,ROWS(F$4:F96))),""),"")</f>
        <v/>
      </c>
      <c r="G96" t="str">
        <f>IFERROR(IF(AND(ROWS(G$4:G96)&lt;=G$1,G$1&lt;&gt;""),INDEX($A$4:$A$99,_xlfn.AGGREGATE(15,3,($B$4:$B$99=G$3)/($B$4:$B$99=G$3)*(ROW($B$4:$B$99))-ROW($A$4)+1,ROWS(G$4:G96))),""),"")</f>
        <v/>
      </c>
      <c r="H96" t="str">
        <f>IFERROR(IF(AND(ROWS(H$4:H96)&lt;=H$1,H$1&lt;&gt;""),INDEX($A$4:$A$99,_xlfn.AGGREGATE(15,3,($B$4:$B$99=H$3)/($B$4:$B$99=H$3)*(ROW($B$4:$B$99))-ROW($A$4)+1,ROWS(H$4:H96))),""),"")</f>
        <v/>
      </c>
      <c r="I96" t="str">
        <f>IFERROR(IF(AND(ROWS(I$4:I96)&lt;=I$1,I$1&lt;&gt;""),INDEX($A$4:$A$99,_xlfn.AGGREGATE(15,3,($B$4:$B$99=I$3)/($B$4:$B$99=I$3)*(ROW($B$4:$B$99))-ROW($A$4)+1,ROWS(I$4:I96))),""),"")</f>
        <v/>
      </c>
      <c r="J96" t="str">
        <f>IFERROR(IF(AND(ROWS(J$4:J96)&lt;=J$1,J$1&lt;&gt;""),INDEX($A$4:$A$99,_xlfn.AGGREGATE(15,3,($B$4:$B$99=J$3)/($B$4:$B$99=J$3)*(ROW($B$4:$B$99))-ROW($A$4)+1,ROWS(J$4:J96))),""),"")</f>
        <v/>
      </c>
      <c r="K96" t="str">
        <f>IFERROR(IF(AND(ROWS(K$4:K96)&lt;=K$1,K$1&lt;&gt;""),INDEX($A$4:$A$99,_xlfn.AGGREGATE(15,3,($B$4:$B$99=K$3)/($B$4:$B$99=K$3)*(ROW($B$4:$B$99))-ROW($A$4)+1,ROWS(K$4:K96))),""),"")</f>
        <v/>
      </c>
      <c r="L96" t="str">
        <f>IFERROR(IF(AND(ROWS(L$4:L96)&lt;=L$1,L$1&lt;&gt;""),INDEX($A$4:$A$99,_xlfn.AGGREGATE(15,3,($B$4:$B$99=L$3)/($B$4:$B$99=L$3)*(ROW($B$4:$B$99))-ROW($A$4)+1,ROWS(L$4:L96))),""),"")</f>
        <v/>
      </c>
    </row>
    <row r="97" spans="1:12" x14ac:dyDescent="0.2">
      <c r="A97" t="str">
        <f>combined!Q24</f>
        <v>12F-94</v>
      </c>
      <c r="B97" t="str">
        <f>combined!R24</f>
        <v/>
      </c>
      <c r="D97" t="str">
        <f>IFERROR(IF(AND(ROWS(D$4:D97)&lt;=D$1,D$1&lt;&gt;""),INDEX($A$4:$A$99,_xlfn.AGGREGATE(15,3,($B$4:$B$99=D$3)/($B$4:$B$99=D$3)*(ROW($B$4:$B$99))-ROW($A$4)+1,ROWS(D$4:D97))),""),"")</f>
        <v/>
      </c>
      <c r="E97" t="str">
        <f>IFERROR(IF(AND(ROWS(E$4:E97)&lt;=E$1,E$1&lt;&gt;""),INDEX($A$4:$A$99,_xlfn.AGGREGATE(15,3,($B$4:$B$99=E$3)/($B$4:$B$99=E$3)*(ROW($B$4:$B$99))-ROW($A$4)+1,ROWS(E$4:E97))),""),"")</f>
        <v/>
      </c>
      <c r="F97" t="str">
        <f>IFERROR(IF(AND(ROWS(F$4:F97)&lt;=F$1,F$1&lt;&gt;""),INDEX($A$4:$A$99,_xlfn.AGGREGATE(15,3,($B$4:$B$99=F$3)/($B$4:$B$99=F$3)*(ROW($B$4:$B$99))-ROW($A$4)+1,ROWS(F$4:F97))),""),"")</f>
        <v/>
      </c>
      <c r="G97" t="str">
        <f>IFERROR(IF(AND(ROWS(G$4:G97)&lt;=G$1,G$1&lt;&gt;""),INDEX($A$4:$A$99,_xlfn.AGGREGATE(15,3,($B$4:$B$99=G$3)/($B$4:$B$99=G$3)*(ROW($B$4:$B$99))-ROW($A$4)+1,ROWS(G$4:G97))),""),"")</f>
        <v/>
      </c>
      <c r="H97" t="str">
        <f>IFERROR(IF(AND(ROWS(H$4:H97)&lt;=H$1,H$1&lt;&gt;""),INDEX($A$4:$A$99,_xlfn.AGGREGATE(15,3,($B$4:$B$99=H$3)/($B$4:$B$99=H$3)*(ROW($B$4:$B$99))-ROW($A$4)+1,ROWS(H$4:H97))),""),"")</f>
        <v/>
      </c>
      <c r="I97" t="str">
        <f>IFERROR(IF(AND(ROWS(I$4:I97)&lt;=I$1,I$1&lt;&gt;""),INDEX($A$4:$A$99,_xlfn.AGGREGATE(15,3,($B$4:$B$99=I$3)/($B$4:$B$99=I$3)*(ROW($B$4:$B$99))-ROW($A$4)+1,ROWS(I$4:I97))),""),"")</f>
        <v/>
      </c>
      <c r="J97" t="str">
        <f>IFERROR(IF(AND(ROWS(J$4:J97)&lt;=J$1,J$1&lt;&gt;""),INDEX($A$4:$A$99,_xlfn.AGGREGATE(15,3,($B$4:$B$99=J$3)/($B$4:$B$99=J$3)*(ROW($B$4:$B$99))-ROW($A$4)+1,ROWS(J$4:J97))),""),"")</f>
        <v/>
      </c>
      <c r="K97" t="str">
        <f>IFERROR(IF(AND(ROWS(K$4:K97)&lt;=K$1,K$1&lt;&gt;""),INDEX($A$4:$A$99,_xlfn.AGGREGATE(15,3,($B$4:$B$99=K$3)/($B$4:$B$99=K$3)*(ROW($B$4:$B$99))-ROW($A$4)+1,ROWS(K$4:K97))),""),"")</f>
        <v/>
      </c>
      <c r="L97" t="str">
        <f>IFERROR(IF(AND(ROWS(L$4:L97)&lt;=L$1,L$1&lt;&gt;""),INDEX($A$4:$A$99,_xlfn.AGGREGATE(15,3,($B$4:$B$99=L$3)/($B$4:$B$99=L$3)*(ROW($B$4:$B$99))-ROW($A$4)+1,ROWS(L$4:L97))),""),"")</f>
        <v/>
      </c>
    </row>
    <row r="98" spans="1:12" x14ac:dyDescent="0.2">
      <c r="A98" t="str">
        <f>combined!Q25</f>
        <v>12G-95</v>
      </c>
      <c r="B98" t="str">
        <f>combined!R25</f>
        <v/>
      </c>
      <c r="D98" t="str">
        <f>IFERROR(IF(AND(ROWS(D$4:D98)&lt;=D$1,D$1&lt;&gt;""),INDEX($A$4:$A$99,_xlfn.AGGREGATE(15,3,($B$4:$B$99=D$3)/($B$4:$B$99=D$3)*(ROW($B$4:$B$99))-ROW($A$4)+1,ROWS(D$4:D98))),""),"")</f>
        <v/>
      </c>
      <c r="E98" t="str">
        <f>IFERROR(IF(AND(ROWS(E$4:E98)&lt;=E$1,E$1&lt;&gt;""),INDEX($A$4:$A$99,_xlfn.AGGREGATE(15,3,($B$4:$B$99=E$3)/($B$4:$B$99=E$3)*(ROW($B$4:$B$99))-ROW($A$4)+1,ROWS(E$4:E98))),""),"")</f>
        <v/>
      </c>
      <c r="F98" t="str">
        <f>IFERROR(IF(AND(ROWS(F$4:F98)&lt;=F$1,F$1&lt;&gt;""),INDEX($A$4:$A$99,_xlfn.AGGREGATE(15,3,($B$4:$B$99=F$3)/($B$4:$B$99=F$3)*(ROW($B$4:$B$99))-ROW($A$4)+1,ROWS(F$4:F98))),""),"")</f>
        <v/>
      </c>
      <c r="G98" t="str">
        <f>IFERROR(IF(AND(ROWS(G$4:G98)&lt;=G$1,G$1&lt;&gt;""),INDEX($A$4:$A$99,_xlfn.AGGREGATE(15,3,($B$4:$B$99=G$3)/($B$4:$B$99=G$3)*(ROW($B$4:$B$99))-ROW($A$4)+1,ROWS(G$4:G98))),""),"")</f>
        <v/>
      </c>
      <c r="H98" t="str">
        <f>IFERROR(IF(AND(ROWS(H$4:H98)&lt;=H$1,H$1&lt;&gt;""),INDEX($A$4:$A$99,_xlfn.AGGREGATE(15,3,($B$4:$B$99=H$3)/($B$4:$B$99=H$3)*(ROW($B$4:$B$99))-ROW($A$4)+1,ROWS(H$4:H98))),""),"")</f>
        <v/>
      </c>
      <c r="I98" t="str">
        <f>IFERROR(IF(AND(ROWS(I$4:I98)&lt;=I$1,I$1&lt;&gt;""),INDEX($A$4:$A$99,_xlfn.AGGREGATE(15,3,($B$4:$B$99=I$3)/($B$4:$B$99=I$3)*(ROW($B$4:$B$99))-ROW($A$4)+1,ROWS(I$4:I98))),""),"")</f>
        <v/>
      </c>
      <c r="J98" t="str">
        <f>IFERROR(IF(AND(ROWS(J$4:J98)&lt;=J$1,J$1&lt;&gt;""),INDEX($A$4:$A$99,_xlfn.AGGREGATE(15,3,($B$4:$B$99=J$3)/($B$4:$B$99=J$3)*(ROW($B$4:$B$99))-ROW($A$4)+1,ROWS(J$4:J98))),""),"")</f>
        <v/>
      </c>
      <c r="K98" t="str">
        <f>IFERROR(IF(AND(ROWS(K$4:K98)&lt;=K$1,K$1&lt;&gt;""),INDEX($A$4:$A$99,_xlfn.AGGREGATE(15,3,($B$4:$B$99=K$3)/($B$4:$B$99=K$3)*(ROW($B$4:$B$99))-ROW($A$4)+1,ROWS(K$4:K98))),""),"")</f>
        <v/>
      </c>
      <c r="L98" t="str">
        <f>IFERROR(IF(AND(ROWS(L$4:L98)&lt;=L$1,L$1&lt;&gt;""),INDEX($A$4:$A$99,_xlfn.AGGREGATE(15,3,($B$4:$B$99=L$3)/($B$4:$B$99=L$3)*(ROW($B$4:$B$99))-ROW($A$4)+1,ROWS(L$4:L98))),""),"")</f>
        <v/>
      </c>
    </row>
    <row r="99" spans="1:12" x14ac:dyDescent="0.2">
      <c r="A99" t="str">
        <f>combined!Q26</f>
        <v>12H-96</v>
      </c>
      <c r="B99" t="str">
        <f>combined!R26</f>
        <v/>
      </c>
      <c r="D99" t="str">
        <f>IFERROR(IF(AND(ROWS(D$4:D99)&lt;=D$1,D$1&lt;&gt;""),INDEX($A$4:$A$99,_xlfn.AGGREGATE(15,3,($B$4:$B$99=D$3)/($B$4:$B$99=D$3)*(ROW($B$4:$B$99))-ROW($A$4)+1,ROWS(D$4:D99))),""),"")</f>
        <v/>
      </c>
      <c r="E99" t="str">
        <f>IFERROR(IF(AND(ROWS(E$4:E99)&lt;=E$1,E$1&lt;&gt;""),INDEX($A$4:$A$99,_xlfn.AGGREGATE(15,3,($B$4:$B$99=E$3)/($B$4:$B$99=E$3)*(ROW($B$4:$B$99))-ROW($A$4)+1,ROWS(E$4:E99))),""),"")</f>
        <v/>
      </c>
      <c r="F99" t="str">
        <f>IFERROR(IF(AND(ROWS(F$4:F99)&lt;=F$1,F$1&lt;&gt;""),INDEX($A$4:$A$99,_xlfn.AGGREGATE(15,3,($B$4:$B$99=F$3)/($B$4:$B$99=F$3)*(ROW($B$4:$B$99))-ROW($A$4)+1,ROWS(F$4:F99))),""),"")</f>
        <v/>
      </c>
      <c r="G99" t="str">
        <f>IFERROR(IF(AND(ROWS(G$4:G99)&lt;=G$1,G$1&lt;&gt;""),INDEX($A$4:$A$99,_xlfn.AGGREGATE(15,3,($B$4:$B$99=G$3)/($B$4:$B$99=G$3)*(ROW($B$4:$B$99))-ROW($A$4)+1,ROWS(G$4:G99))),""),"")</f>
        <v/>
      </c>
      <c r="H99" t="str">
        <f>IFERROR(IF(AND(ROWS(H$4:H99)&lt;=H$1,H$1&lt;&gt;""),INDEX($A$4:$A$99,_xlfn.AGGREGATE(15,3,($B$4:$B$99=H$3)/($B$4:$B$99=H$3)*(ROW($B$4:$B$99))-ROW($A$4)+1,ROWS(H$4:H99))),""),"")</f>
        <v/>
      </c>
      <c r="I99" t="str">
        <f>IFERROR(IF(AND(ROWS(I$4:I99)&lt;=I$1,I$1&lt;&gt;""),INDEX($A$4:$A$99,_xlfn.AGGREGATE(15,3,($B$4:$B$99=I$3)/($B$4:$B$99=I$3)*(ROW($B$4:$B$99))-ROW($A$4)+1,ROWS(I$4:I99))),""),"")</f>
        <v/>
      </c>
      <c r="J99" t="str">
        <f>IFERROR(IF(AND(ROWS(J$4:J99)&lt;=J$1,J$1&lt;&gt;""),INDEX($A$4:$A$99,_xlfn.AGGREGATE(15,3,($B$4:$B$99=J$3)/($B$4:$B$99=J$3)*(ROW($B$4:$B$99))-ROW($A$4)+1,ROWS(J$4:J99))),""),"")</f>
        <v/>
      </c>
      <c r="K99" t="str">
        <f>IFERROR(IF(AND(ROWS(K$4:K99)&lt;=K$1,K$1&lt;&gt;""),INDEX($A$4:$A$99,_xlfn.AGGREGATE(15,3,($B$4:$B$99=K$3)/($B$4:$B$99=K$3)*(ROW($B$4:$B$99))-ROW($A$4)+1,ROWS(K$4:K99))),""),"")</f>
        <v/>
      </c>
      <c r="L99" t="str">
        <f>IFERROR(IF(AND(ROWS(L$4:L99)&lt;=L$1,L$1&lt;&gt;""),INDEX($A$4:$A$99,_xlfn.AGGREGATE(15,3,($B$4:$B$99=L$3)/($B$4:$B$99=L$3)*(ROW($B$4:$B$99))-ROW($A$4)+1,ROWS(L$4:L99))),""),"")</f>
        <v/>
      </c>
    </row>
  </sheetData>
  <sheetProtection sheet="1" objects="1" scenarios="1" formatCells="0" formatColumns="0" formatRows="0"/>
  <mergeCells count="4">
    <mergeCell ref="D2:L2"/>
    <mergeCell ref="A3:B3"/>
    <mergeCell ref="A2:B2"/>
    <mergeCell ref="N1:O1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gene1</vt:lpstr>
      <vt:lpstr>gene2</vt:lpstr>
      <vt:lpstr>gene3</vt:lpstr>
      <vt:lpstr>gene4</vt:lpstr>
      <vt:lpstr>combined</vt:lpstr>
      <vt:lpstr>results</vt:lpstr>
      <vt:lpstr>combined!Print_Area</vt:lpstr>
      <vt:lpstr>gene1!Print_Area</vt:lpstr>
      <vt:lpstr>gene2!Print_Area</vt:lpstr>
      <vt:lpstr>gene3!Print_Area</vt:lpstr>
      <vt:lpstr>gene4!Print_Area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Edmond McFaul</dc:creator>
  <cp:lastModifiedBy>Matt Edmond McFaul</cp:lastModifiedBy>
  <cp:lastPrinted>2019-08-07T22:35:19Z</cp:lastPrinted>
  <dcterms:created xsi:type="dcterms:W3CDTF">2017-01-20T21:46:06Z</dcterms:created>
  <dcterms:modified xsi:type="dcterms:W3CDTF">2020-02-26T19:13:25Z</dcterms:modified>
</cp:coreProperties>
</file>